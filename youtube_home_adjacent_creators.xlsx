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b6cfc45d3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906a46039394450"/>
    <x:sheet xmlns:r="http://schemas.openxmlformats.org/officeDocument/2006/relationships" name="Home Feed" sheetId="2" r:id="R22f13db6c804486e"/>
    <x:sheet xmlns:r="http://schemas.openxmlformats.org/officeDocument/2006/relationships" name="Creator Candidates" sheetId="3" r:id="Rdd1b956259aa494d"/>
    <x:sheet xmlns:r="http://schemas.openxmlformats.org/officeDocument/2006/relationships" name="Current Subscriptions" sheetId="4" r:id="R53ee8fa9d4e1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B2531"/>
      <x:name val="Carlito"/>
    </x:font>
    <x:font>
      <x:b/>
      <x:sz val="9"/>
      <x:color rgb="FFFFFFFF"/>
      <x:name val="Carlito"/>
    </x:font>
    <x:font>
      <x:b/>
      <x:sz val="22"/>
      <x:color rgb="FF172033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sz val="11"/>
      <x:color rgb="FF6B2531"/>
      <x:name val="Carlito"/>
    </x:font>
    <x:font>
      <x:b/>
      <x:sz val="17"/>
      <x:color rgb="FFFFFFFF"/>
      <x:name val="Carlito"/>
    </x:font>
    <x:font>
      <x:b/>
      <x:sz val="11"/>
      <x:color rgb="FF173B57"/>
      <x:name val="Carlito"/>
    </x:font>
    <x:font>
      <x:sz val="11"/>
      <x:color rgb="FF1155C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0033"/>
      </x:patternFill>
    </x:fill>
    <x:fill>
      <x:patternFill patternType="solid">
        <x:fgColor rgb="FFFFF1F3"/>
      </x:patternFill>
    </x:fill>
    <x:fill>
      <x:patternFill patternType="solid">
        <x:fgColor rgb="FF173B57"/>
      </x:patternFill>
    </x:fill>
    <x:fill>
      <x:patternFill patternType="solid">
        <x:fgColor rgb="FFEAF4FA"/>
      </x:patternFill>
    </x:fill>
    <x:fill>
      <x:patternFill patternType="solid">
        <x:fgColor rgb="FF172033"/>
      </x:patternFill>
    </x:fill>
    <x:fill>
      <x:patternFill patternType="solid">
        <x:fgColor rgb="FFF3F4F6"/>
      </x:patternFill>
    </x:fill>
  </x:fills>
  <x:borders count="30">
    <x:border/>
    <x:border>
      <x:left style="thin">
        <x:color rgb="FFB8CBD8"/>
      </x:left>
      <x:top style="thin">
        <x:color rgb="FFB8CBD8"/>
      </x:top>
    </x:border>
    <x:border>
      <x:right style="thin">
        <x:color rgb="FFB8CBD8"/>
      </x:right>
      <x:top style="thin">
        <x:color rgb="FFB8CBD8"/>
      </x:top>
    </x:border>
    <x:border>
      <x:left style="thin">
        <x:color rgb="FFB8CBD8"/>
      </x:left>
      <x:bottom style="thin">
        <x:color rgb="FFB8CBD8"/>
      </x:bottom>
    </x:border>
    <x:border>
      <x:right style="thin">
        <x:color rgb="FFB8CBD8"/>
      </x:right>
      <x:bottom style="thin">
        <x:color rgb="FFB8CBD8"/>
      </x:bottom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E9B8C0"/>
      </x:left>
      <x:top style="thin">
        <x:color rgb="FFE9B8C0"/>
      </x:top>
    </x:border>
    <x:border>
      <x:top style="thin">
        <x:color rgb="FFE9B8C0"/>
      </x:top>
    </x:border>
    <x:border>
      <x:right style="thin">
        <x:color rgb="FFE9B8C0"/>
      </x:right>
      <x:top style="thin">
        <x:color rgb="FFE9B8C0"/>
      </x:top>
    </x:border>
    <x:border>
      <x:left style="thin">
        <x:color rgb="FFE9B8C0"/>
      </x:left>
    </x:border>
    <x:border>
      <x:right style="thin">
        <x:color rgb="FFE9B8C0"/>
      </x:right>
    </x:border>
    <x:border>
      <x:left style="thin">
        <x:color rgb="FFE9B8C0"/>
      </x:left>
      <x:bottom style="thin">
        <x:color rgb="FFE9B8C0"/>
      </x:bottom>
    </x:border>
    <x:border>
      <x:bottom style="thin">
        <x:color rgb="FFE9B8C0"/>
      </x:bottom>
    </x:border>
    <x:border>
      <x:right style="thin">
        <x:color rgb="FFE9B8C0"/>
      </x:right>
      <x:bottom style="thin">
        <x:color rgb="FFE9B8C0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4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/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17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0" fontId="7" fillId="7" borderId="21" xfId="0" applyNumberFormat="1" applyFont="1" applyFill="1" applyBorder="1"/>
    <x:xf numFmtId="0" fontId="7" fillId="7" borderId="14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wrapText="1"/>
    </x:xf>
    <x:xf numFmtId="0" fontId="7" fillId="7" borderId="17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8" xfId="0" applyNumberFormat="1" applyFont="1" applyFill="1" applyBorder="1" applyAlignment="1">
      <x:alignment wrapText="1"/>
    </x:xf>
    <x:xf numFmtId="0" fontId="7" fillId="7" borderId="19" xfId="0" applyNumberFormat="1" applyFont="1" applyFill="1" applyBorder="1" applyAlignment="1">
      <x:alignment wrapText="1"/>
    </x:xf>
    <x:xf numFmtId="0" fontId="7" fillId="7" borderId="20" xfId="0" applyNumberFormat="1" applyFont="1" applyFill="1" applyBorder="1" applyAlignment="1">
      <x:alignment wrapText="1"/>
    </x:xf>
    <x:xf numFmtId="0" fontId="7" fillId="7" borderId="21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vertical="top" wrapText="1"/>
    </x:xf>
    <x:xf numFmtId="0" fontId="7" fillId="7" borderId="15" xfId="0" applyNumberFormat="1" applyFont="1" applyFill="1" applyBorder="1" applyAlignment="1">
      <x:alignment vertical="top" wrapText="1"/>
    </x:xf>
    <x:xf numFmtId="0" fontId="7" fillId="7" borderId="16" xfId="0" applyNumberFormat="1" applyFont="1" applyFill="1" applyBorder="1" applyAlignment="1">
      <x:alignment vertical="top" wrapText="1"/>
    </x:xf>
    <x:xf numFmtId="0" fontId="7" fillId="7" borderId="17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8" xfId="0" applyNumberFormat="1" applyFont="1" applyFill="1" applyBorder="1" applyAlignment="1">
      <x:alignment vertical="top" wrapText="1"/>
    </x:xf>
    <x:xf numFmtId="0" fontId="7" fillId="7" borderId="19" xfId="0" applyNumberFormat="1" applyFont="1" applyFill="1" applyBorder="1" applyAlignment="1">
      <x:alignment vertical="top" wrapText="1"/>
    </x:xf>
    <x:xf numFmtId="0" fontId="7" fillId="7" borderId="20" xfId="0" applyNumberFormat="1" applyFont="1" applyFill="1" applyBorder="1" applyAlignment="1">
      <x:alignment vertical="top" wrapText="1"/>
    </x:xf>
    <x:xf numFmtId="0" fontId="7" fillId="7" borderId="21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3" borderId="22" xfId="0" applyNumberFormat="1" applyFont="1" applyFill="1" applyBorder="1"/>
    <x:xf numFmtId="0" fontId="8" fillId="3" borderId="23" xfId="0" applyNumberFormat="1" applyFont="1" applyFill="1" applyBorder="1"/>
    <x:xf numFmtId="0" fontId="8" fillId="3" borderId="24" xfId="0" applyNumberFormat="1" applyFont="1" applyFill="1" applyBorder="1"/>
    <x:xf numFmtId="0" fontId="8" fillId="3" borderId="25" xfId="0" applyNumberFormat="1" applyFont="1" applyFill="1" applyBorder="1"/>
    <x:xf numFmtId="0" fontId="8" fillId="3" borderId="26" xfId="0" applyNumberFormat="1" applyFont="1" applyFill="1" applyBorder="1"/>
    <x:xf numFmtId="0" fontId="8" fillId="3" borderId="27" xfId="0" applyNumberFormat="1" applyFont="1" applyFill="1" applyBorder="1"/>
    <x:xf numFmtId="0" fontId="8" fillId="3" borderId="28" xfId="0" applyNumberFormat="1" applyFont="1" applyFill="1" applyBorder="1"/>
    <x:xf numFmtId="0" fontId="8" fillId="3" borderId="29" xfId="0" applyNumberFormat="1" applyFont="1" applyFill="1" applyBorder="1"/>
    <x:xf numFmtId="0" fontId="8" fillId="3" borderId="22" xfId="0" applyNumberFormat="1" applyFont="1" applyFill="1" applyBorder="1" applyAlignment="1">
      <x:alignment wrapText="1"/>
    </x:xf>
    <x:xf numFmtId="0" fontId="8" fillId="3" borderId="23" xfId="0" applyNumberFormat="1" applyFont="1" applyFill="1" applyBorder="1" applyAlignment="1">
      <x:alignment wrapText="1"/>
    </x:xf>
    <x:xf numFmtId="0" fontId="8" fillId="3" borderId="24" xfId="0" applyNumberFormat="1" applyFont="1" applyFill="1" applyBorder="1" applyAlignment="1">
      <x:alignment wrapText="1"/>
    </x:xf>
    <x:xf numFmtId="0" fontId="8" fillId="3" borderId="25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8" fillId="3" borderId="26" xfId="0" applyNumberFormat="1" applyFont="1" applyFill="1" applyBorder="1" applyAlignment="1">
      <x:alignment wrapText="1"/>
    </x:xf>
    <x:xf numFmtId="0" fontId="8" fillId="3" borderId="27" xfId="0" applyNumberFormat="1" applyFont="1" applyFill="1" applyBorder="1" applyAlignment="1">
      <x:alignment wrapText="1"/>
    </x:xf>
    <x:xf numFmtId="0" fontId="8" fillId="3" borderId="28" xfId="0" applyNumberFormat="1" applyFont="1" applyFill="1" applyBorder="1" applyAlignment="1">
      <x:alignment wrapText="1"/>
    </x:xf>
    <x:xf numFmtId="0" fontId="8" fillId="3" borderId="29" xfId="0" applyNumberFormat="1" applyFont="1" applyFill="1" applyBorder="1" applyAlignment="1">
      <x:alignment wrapText="1"/>
    </x:xf>
    <x:xf numFmtId="0" fontId="8" fillId="3" borderId="22" xfId="0" applyNumberFormat="1" applyFont="1" applyFill="1" applyBorder="1" applyAlignment="1">
      <x:alignment vertical="top" wrapText="1"/>
    </x:xf>
    <x:xf numFmtId="0" fontId="8" fillId="3" borderId="23" xfId="0" applyNumberFormat="1" applyFont="1" applyFill="1" applyBorder="1" applyAlignment="1">
      <x:alignment vertical="top" wrapText="1"/>
    </x:xf>
    <x:xf numFmtId="0" fontId="8" fillId="3" borderId="24" xfId="0" applyNumberFormat="1" applyFont="1" applyFill="1" applyBorder="1" applyAlignment="1">
      <x:alignment vertical="top" wrapText="1"/>
    </x:xf>
    <x:xf numFmtId="0" fontId="8" fillId="3" borderId="25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8" fillId="3" borderId="26" xfId="0" applyNumberFormat="1" applyFont="1" applyFill="1" applyBorder="1" applyAlignment="1">
      <x:alignment vertical="top" wrapText="1"/>
    </x:xf>
    <x:xf numFmtId="0" fontId="8" fillId="3" borderId="27" xfId="0" applyNumberFormat="1" applyFont="1" applyFill="1" applyBorder="1" applyAlignment="1">
      <x:alignment vertical="top" wrapText="1"/>
    </x:xf>
    <x:xf numFmtId="0" fontId="8" fillId="3" borderId="28" xfId="0" applyNumberFormat="1" applyFont="1" applyFill="1" applyBorder="1" applyAlignment="1">
      <x:alignment vertical="top" wrapText="1"/>
    </x:xf>
    <x:xf numFmtId="0" fontId="8" fillId="3" borderId="29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10" fillId="5" borderId="0" xfId="0" applyNumberFormat="1" applyFont="1" applyFill="1" applyBorder="1"/>
    <x:xf numFmtId="0" fontId="11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feee6909ed42d7" /><Relationship Type="http://schemas.openxmlformats.org/officeDocument/2006/relationships/theme" Target="/xl/theme/theme1.xml" Id="Rbadb5566ee80420b" /><Relationship Type="http://schemas.openxmlformats.org/officeDocument/2006/relationships/sharedStrings" Target="/xl/sharedStrings.xml" Id="Rd64e232d4ce24583" /><Relationship Type="http://schemas.openxmlformats.org/officeDocument/2006/relationships/worksheet" Target="/xl/worksheets/sheet1.xml" Id="R8906a46039394450" /><Relationship Type="http://schemas.openxmlformats.org/officeDocument/2006/relationships/worksheet" Target="/xl/worksheets/sheet2.xml" Id="R22f13db6c804486e" /><Relationship Type="http://schemas.openxmlformats.org/officeDocument/2006/relationships/worksheet" Target="/xl/worksheets/sheet3.xml" Id="Rdd1b956259aa494d" /><Relationship Type="http://schemas.openxmlformats.org/officeDocument/2006/relationships/worksheet" Target="/xl/worksheets/sheet4.xml" Id="R53ee8fa9d4e14764" /></Relationships>
</file>

<file path=xl/tables/table1.xml><?xml version="1.0" encoding="utf-8"?>
<x:table xmlns:x="http://schemas.openxmlformats.org/spreadsheetml/2006/main" id="1" name="HomeFeedTable" displayName="HomeFeedTable" ref="A6:L235" headerRowCount="1" totalsRowCount="0" totalsRowShown="0">
  <x:tableColumns count="12">
    <x:tableColumn id="1" name="Position"/>
    <x:tableColumn id="2" name="Type"/>
    <x:tableColumn id="3" name="Video Title"/>
    <x:tableColumn id="4" name="Video ID"/>
    <x:tableColumn id="5" name="Channel"/>
    <x:tableColumn id="6" name="Handle"/>
    <x:tableColumn id="7" name="Subscribed?"/>
    <x:tableColumn id="8" name="Views"/>
    <x:tableColumn id="9" name="Published"/>
    <x:tableColumn id="10" name="Duration"/>
    <x:tableColumn id="11" name="Video URL"/>
    <x:tableColumn id="12" name="Channel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eatorCandidatesTable" displayName="CreatorCandidatesTable" ref="A6:I198" headerRowCount="1" totalsRowCount="0" totalsRowShown="0">
  <x:tableColumns count="9">
    <x:tableColumn id="1" name="Rank"/>
    <x:tableColumn id="2" name="Creator"/>
    <x:tableColumn id="3" name="Handle"/>
    <x:tableColumn id="4" name="Subscribed?"/>
    <x:tableColumn id="5" name="Home Appearances"/>
    <x:tableColumn id="6" name="First Feed Position"/>
    <x:tableColumn id="7" name="Content Types"/>
    <x:tableColumn id="8" name="Example Video"/>
    <x:tableColumn id="9" name="Channel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rrentSubscriptionsTable" displayName="CurrentSubscriptionsTable" ref="A6:D83" headerRowCount="1" totalsRowCount="0" totalsRowShown="0">
  <x:tableColumns count="4">
    <x:tableColumn id="1" name="#"/>
    <x:tableColumn id="2" name="Channel"/>
    <x:tableColumn id="3" name="Handle"/>
    <x:tableColumn id="4" name="Channel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966ff18f894c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9d670218c243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1846523c6542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13" hidden="0" customWidth="1"/>
    <x:col min="4" max="4" width="12" hidden="0" customWidth="1"/>
    <x:col min="5" max="5" width="48" hidden="0" customWidth="1"/>
    <x:col min="6" max="6" width="3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6" customHeight="1">
      <x:c r="A1" s="3" t="str">
        <x:v>@austinsyoutube — Home Feed Discovery Map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2" customHeight="1">
      <x:c r="A2" s="5" t="str">
        <x:v>A 30-scroll snapshot of the signed-in YouTube Home feed, collected in feed order on 2026-08-26.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 ht="20" customHeight="1">
      <x:c r="A4" s="8" t="str">
        <x:v>RECOMMENDATIONS</x:v>
      </x:c>
      <x:c r="B4" s="8"/>
      <x:c r="C4" s="8"/>
      <x:c r="D4" s="8" t="str">
        <x:v>UNIQUE CREATORS</x:v>
      </x:c>
      <x:c r="E4" s="8"/>
      <x:c r="F4" s="8"/>
      <x:c r="G4" s="8" t="str">
        <x:v>ADJACENT CREATORS</x:v>
      </x:c>
      <x:c r="H4" s="8"/>
      <x:c r="I4" s="8"/>
      <x:c r="J4" s="8" t="str">
        <x:v>ALREADY SUBSCRIBED</x:v>
      </x:c>
      <x:c r="K4" s="8"/>
    </x:row>
    <x:row r="5">
      <x:c r="A5" s="19" t="n">
        <x:f>COUNTA('Home Feed'!$D$7:$D$235)</x:f>
        <x:v>229</x:v>
      </x:c>
      <x:c r="B5" s="20"/>
      <x:c r="D5" s="19" t="n">
        <x:f>COUNTA('Creator Candidates'!$B$7:$B$198)</x:f>
        <x:v>192</x:v>
      </x:c>
      <x:c r="E5" s="20"/>
      <x:c r="G5" s="19" t="n">
        <x:f>COUNTIF('Creator Candidates'!$D$7:$D$198,"No")</x:f>
        <x:v>183</x:v>
      </x:c>
      <x:c r="H5" s="20"/>
      <x:c r="J5" s="19" t="n">
        <x:f>COUNTIF('Creator Candidates'!$D$7:$D$198,"Yes")</x:f>
        <x:v>9</x:v>
      </x:c>
      <x:c r="K5" s="20"/>
    </x:row>
    <x:row r="6">
      <x:c r="A6" s="21"/>
      <x:c r="B6" s="22"/>
      <x:c r="D6" s="21"/>
      <x:c r="E6" s="22"/>
      <x:c r="G6" s="21"/>
      <x:c r="H6" s="22"/>
      <x:c r="J6" s="21"/>
      <x:c r="K6" s="22"/>
    </x:row>
    <x:row r="8" ht="24" customHeight="1">
      <x:c r="A8" s="24" t="str">
        <x:v>Top adjacent creators surfaced repeatedly</x:v>
      </x:c>
      <x:c r="B8" s="24"/>
      <x:c r="C8" s="24"/>
      <x:c r="D8" s="24"/>
      <x:c r="E8" s="24"/>
      <x:c r="F8" s="24"/>
      <x:c r="G8" s="24"/>
      <x:c r="H8" s="24"/>
      <x:c r="I8" s="24"/>
      <x:c r="J8" s="24"/>
      <x:c r="K8" s="24"/>
    </x:row>
    <x:row r="9" ht="22" customHeight="1">
      <x:c r="A9" s="28" t="str">
        <x:v>Rank</x:v>
      </x:c>
      <x:c r="B9" s="29" t="str">
        <x:v>Creator</x:v>
      </x:c>
      <x:c r="C9" s="29" t="str">
        <x:v>Appearances</x:v>
      </x:c>
      <x:c r="D9" s="29" t="str">
        <x:v>First Seen</x:v>
      </x:c>
      <x:c r="E9" s="30" t="str">
        <x:v>Example Video</x:v>
      </x:c>
      <x:c r="G9" s="25" t="str">
        <x:v>How to use this workbook</x:v>
      </x:c>
      <x:c r="H9" s="25"/>
      <x:c r="I9" s="25"/>
      <x:c r="J9" s="25"/>
      <x:c r="K9" s="25"/>
    </x:row>
    <x:row r="10" ht="22" customHeight="1">
      <x:c r="A10" s="31" t="n">
        <x:f>'Creator Candidates'!A7</x:f>
        <x:v>1</x:v>
      </x:c>
      <x:c r="B10" s="32" t="str">
        <x:f>'Creator Candidates'!B7</x:f>
        <x:v>Yellow Cherry Jam</x:v>
      </x:c>
      <x:c r="C10" s="33" t="n">
        <x:f>'Creator Candidates'!E7</x:f>
        <x:v>9</x:v>
      </x:c>
      <x:c r="D10" s="33" t="n">
        <x:f>'Creator Candidates'!F7</x:f>
        <x:v>32</x:v>
      </x:c>
      <x:c r="E10" s="34" t="str">
        <x:f>'Creator Candidates'!H7</x:f>
        <x:v>Let's get things done! 📚 No AI Lofi Pomodoro 50/10</x:v>
      </x:c>
      <x:c r="G10" s="58" t="str">
        <x:v>1. Start with Creator Candidates to find channels you do not follow.
2. Sort Home Appearances descending to identify recurring recommendations.
3. Use First Feed Position as a rough strength signal: lower numbers appeared earlier.
4. Open Example Video or Channel URL to explore a community without relying on autoplay.</x:v>
      </x:c>
      <x:c r="H10" s="59"/>
      <x:c r="I10" s="59"/>
      <x:c r="J10" s="59"/>
      <x:c r="K10" s="60"/>
    </x:row>
    <x:row r="11" ht="22" customHeight="1">
      <x:c r="A11" s="31" t="n">
        <x:f>'Creator Candidates'!A8</x:f>
        <x:v>2</x:v>
      </x:c>
      <x:c r="B11" s="32" t="str">
        <x:f>'Creator Candidates'!B8</x:f>
        <x:v>The PrimeTime</x:v>
      </x:c>
      <x:c r="C11" s="33" t="n">
        <x:f>'Creator Candidates'!E8</x:f>
        <x:v>4</x:v>
      </x:c>
      <x:c r="D11" s="33" t="n">
        <x:f>'Creator Candidates'!F8</x:f>
        <x:v>6</x:v>
      </x:c>
      <x:c r="E11" s="34" t="str">
        <x:f>'Creator Candidates'!H8</x:f>
        <x:v>Protecting Your Energy</x:v>
      </x:c>
      <x:c r="G11" s="61"/>
      <x:c r="H11" s="62"/>
      <x:c r="I11" s="62"/>
      <x:c r="J11" s="62"/>
      <x:c r="K11" s="63"/>
    </x:row>
    <x:row r="12" ht="22" customHeight="1">
      <x:c r="A12" s="31" t="n">
        <x:f>'Creator Candidates'!A9</x:f>
        <x:v>3</x:v>
      </x:c>
      <x:c r="B12" s="32" t="str">
        <x:f>'Creator Candidates'!B9</x:f>
        <x:v>FluentU French</x:v>
      </x:c>
      <x:c r="C12" s="33" t="n">
        <x:f>'Creator Candidates'!E9</x:f>
        <x:v>4</x:v>
      </x:c>
      <x:c r="D12" s="33" t="n">
        <x:f>'Creator Candidates'!F9</x:f>
        <x:v>94</x:v>
      </x:c>
      <x:c r="E12" s="34" t="str">
        <x:f>'Creator Candidates'!H9</x:f>
        <x:v>Learn Advanced French with Movies: Ratatouille</x:v>
      </x:c>
      <x:c r="G12" s="61"/>
      <x:c r="H12" s="62"/>
      <x:c r="I12" s="62"/>
      <x:c r="J12" s="62"/>
      <x:c r="K12" s="63"/>
    </x:row>
    <x:row r="13" ht="22" customHeight="1">
      <x:c r="A13" s="31" t="n">
        <x:f>'Creator Candidates'!A10</x:f>
        <x:v>4</x:v>
      </x:c>
      <x:c r="B13" s="32" t="str">
        <x:f>'Creator Candidates'!B10</x:f>
        <x:v>LaurieWired</x:v>
      </x:c>
      <x:c r="C13" s="33" t="n">
        <x:f>'Creator Candidates'!E10</x:f>
        <x:v>3</x:v>
      </x:c>
      <x:c r="D13" s="33" t="n">
        <x:f>'Creator Candidates'!F10</x:f>
        <x:v>56</x:v>
      </x:c>
      <x:c r="E13" s="34" t="str">
        <x:f>'Creator Candidates'!H10</x:f>
        <x:v>the true reason C++ always wins</x:v>
      </x:c>
      <x:c r="G13" s="61"/>
      <x:c r="H13" s="62"/>
      <x:c r="I13" s="62"/>
      <x:c r="J13" s="62"/>
      <x:c r="K13" s="63"/>
    </x:row>
    <x:row r="14" ht="22" customHeight="1">
      <x:c r="A14" s="31" t="n">
        <x:f>'Creator Candidates'!A11</x:f>
        <x:v>5</x:v>
      </x:c>
      <x:c r="B14" s="32" t="str">
        <x:f>'Creator Candidates'!B11</x:f>
        <x:v>COULOU</x:v>
      </x:c>
      <x:c r="C14" s="33" t="n">
        <x:f>'Creator Candidates'!E11</x:f>
        <x:v>2</x:v>
      </x:c>
      <x:c r="D14" s="33" t="n">
        <x:f>'Creator Candidates'!F11</x:f>
        <x:v>2</x:v>
      </x:c>
      <x:c r="E14" s="34" t="str">
        <x:f>'Creator Candidates'!H11</x:f>
        <x:v>coulou's cafe trumpet meditations (1hr) - relaxing river mix</x:v>
      </x:c>
      <x:c r="G14" s="61"/>
      <x:c r="H14" s="62"/>
      <x:c r="I14" s="62"/>
      <x:c r="J14" s="62"/>
      <x:c r="K14" s="63"/>
    </x:row>
    <x:row r="15" ht="22" customHeight="1">
      <x:c r="A15" s="31" t="n">
        <x:f>'Creator Candidates'!A12</x:f>
        <x:v>6</x:v>
      </x:c>
      <x:c r="B15" s="32" t="str">
        <x:f>'Creator Candidates'!B12</x:f>
        <x:v>Angela Collier</x:v>
      </x:c>
      <x:c r="C15" s="33" t="n">
        <x:f>'Creator Candidates'!E12</x:f>
        <x:v>2</x:v>
      </x:c>
      <x:c r="D15" s="33" t="n">
        <x:f>'Creator Candidates'!F12</x:f>
        <x:v>24</x:v>
      </x:c>
      <x:c r="E15" s="34" t="str">
        <x:f>'Creator Candidates'!H12</x:f>
        <x:v>this video is not about spark plugs</x:v>
      </x:c>
      <x:c r="G15" s="64"/>
      <x:c r="H15" s="65"/>
      <x:c r="I15" s="65"/>
      <x:c r="J15" s="65"/>
      <x:c r="K15" s="66"/>
    </x:row>
    <x:row r="16" ht="30" customHeight="1">
      <x:c r="A16" s="31" t="n">
        <x:f>'Creator Candidates'!A13</x:f>
        <x:v>7</x:v>
      </x:c>
      <x:c r="B16" s="32" t="str">
        <x:f>'Creator Candidates'!B13</x:f>
        <x:v>Cody'sLab</x:v>
      </x:c>
      <x:c r="C16" s="33" t="n">
        <x:f>'Creator Candidates'!E13</x:f>
        <x:v>2</x:v>
      </x:c>
      <x:c r="D16" s="33" t="n">
        <x:f>'Creator Candidates'!F13</x:f>
        <x:v>31</x:v>
      </x:c>
      <x:c r="E16" s="34" t="str">
        <x:f>'Creator Candidates'!H13</x:f>
        <x:v>Continuous Feed Jar For Infinite Pickles</x:v>
      </x:c>
    </x:row>
    <x:row r="17" ht="22" customHeight="1">
      <x:c r="A17" s="31" t="n">
        <x:f>'Creator Candidates'!A14</x:f>
        <x:v>8</x:v>
      </x:c>
      <x:c r="B17" s="32" t="str">
        <x:f>'Creator Candidates'!B14</x:f>
        <x:v>Adam Savage’s Tested</x:v>
      </x:c>
      <x:c r="C17" s="33" t="n">
        <x:f>'Creator Candidates'!E14</x:f>
        <x:v>2</x:v>
      </x:c>
      <x:c r="D17" s="33" t="n">
        <x:f>'Creator Candidates'!F14</x:f>
        <x:v>34</x:v>
      </x:c>
      <x:c r="E17" s="34" t="str">
        <x:f>'Creator Candidates'!H14</x:f>
        <x:v>The Truth About Turning Your Hobby Into a Job</x:v>
      </x:c>
      <x:c r="G17" s="25" t="str">
        <x:v>Collection notes</x:v>
      </x:c>
      <x:c r="H17" s="25"/>
      <x:c r="I17" s="25"/>
      <x:c r="J17" s="25"/>
      <x:c r="K17" s="25"/>
    </x:row>
    <x:row r="18" ht="30" customHeight="1">
      <x:c r="A18" s="31" t="n">
        <x:f>'Creator Candidates'!A15</x:f>
        <x:v>9</x:v>
      </x:c>
      <x:c r="B18" s="32" t="str">
        <x:f>'Creator Candidates'!B15</x:f>
        <x:v>Tottomori</x:v>
      </x:c>
      <x:c r="C18" s="33" t="n">
        <x:f>'Creator Candidates'!E15</x:f>
        <x:v>2</x:v>
      </x:c>
      <x:c r="D18" s="33" t="n">
        <x:f>'Creator Candidates'!F15</x:f>
        <x:v>40</x:v>
      </x:c>
      <x:c r="E18" s="34" t="str">
        <x:f>'Creator Candidates'!H15</x:f>
        <x:v>Tottomori ~ Callenwood Wavefinder [Full album]</x:v>
      </x:c>
      <x:c r="G18" s="85" t="str">
        <x:v>The feed stabilized at 229 unique items after 30 scrolls. Channel metadata missing from special Home cards was completed using YouTube's own oEmbed metadata. Recommendation feeds change over time; this workbook is a point-in-time sample, not a permanent profile.</x:v>
      </x:c>
      <x:c r="H18" s="86"/>
      <x:c r="I18" s="86"/>
      <x:c r="J18" s="86"/>
      <x:c r="K18" s="87"/>
    </x:row>
    <x:row r="19" ht="30" customHeight="1">
      <x:c r="A19" s="31" t="n">
        <x:f>'Creator Candidates'!A16</x:f>
        <x:v>10</x:v>
      </x:c>
      <x:c r="B19" s="32" t="str">
        <x:f>'Creator Candidates'!B16</x:f>
        <x:v>Midwest Magic Cleaning</x:v>
      </x:c>
      <x:c r="C19" s="33" t="n">
        <x:f>'Creator Candidates'!E16</x:f>
        <x:v>2</x:v>
      </x:c>
      <x:c r="D19" s="33" t="n">
        <x:f>'Creator Candidates'!F16</x:f>
        <x:v>45</x:v>
      </x:c>
      <x:c r="E19" s="34" t="str">
        <x:f>'Creator Candidates'!H16</x:f>
        <x:v>Let's Help This 83-Year-Old for FREE!</x:v>
      </x:c>
      <x:c r="G19" s="88"/>
      <x:c r="H19" s="89"/>
      <x:c r="I19" s="89"/>
      <x:c r="J19" s="89"/>
      <x:c r="K19" s="90"/>
    </x:row>
    <x:row r="20" ht="30" customHeight="1">
      <x:c r="A20" s="31" t="n">
        <x:f>'Creator Candidates'!A17</x:f>
        <x:v>11</x:v>
      </x:c>
      <x:c r="B20" s="32" t="str">
        <x:f>'Creator Candidates'!B17</x:f>
        <x:v>Cliff Ennico</x:v>
      </x:c>
      <x:c r="C20" s="33" t="n">
        <x:f>'Creator Candidates'!E17</x:f>
        <x:v>2</x:v>
      </x:c>
      <x:c r="D20" s="33" t="n">
        <x:f>'Creator Candidates'!F17</x:f>
        <x:v>54</x:v>
      </x:c>
      <x:c r="E20" s="34" t="str">
        <x:f>'Creator Candidates'!H17</x:f>
        <x:v>Starting a Small Business, Part I: What Successful Entrepreneurs Have That Others Don't</x:v>
      </x:c>
      <x:c r="G20" s="88"/>
      <x:c r="H20" s="89"/>
      <x:c r="I20" s="89"/>
      <x:c r="J20" s="89"/>
      <x:c r="K20" s="90"/>
    </x:row>
    <x:row r="21" ht="30" customHeight="1">
      <x:c r="A21" s="31" t="n">
        <x:f>'Creator Candidates'!A18</x:f>
        <x:v>12</x:v>
      </x:c>
      <x:c r="B21" s="32" t="str">
        <x:f>'Creator Candidates'!B18</x:f>
        <x:v>Newel of Knowledge</x:v>
      </x:c>
      <x:c r="C21" s="33" t="n">
        <x:f>'Creator Candidates'!E18</x:f>
        <x:v>2</x:v>
      </x:c>
      <x:c r="D21" s="33" t="n">
        <x:f>'Creator Candidates'!F18</x:f>
        <x:v>68</x:v>
      </x:c>
      <x:c r="E21" s="34" t="str">
        <x:f>'Creator Candidates'!H18</x:f>
        <x:v>how to *quickly* escape a dopamine hole</x:v>
      </x:c>
      <x:c r="G21" s="88"/>
      <x:c r="H21" s="89"/>
      <x:c r="I21" s="89"/>
      <x:c r="J21" s="89"/>
      <x:c r="K21" s="90"/>
    </x:row>
    <x:row r="22" ht="30" customHeight="1">
      <x:c r="A22" s="31" t="n">
        <x:f>'Creator Candidates'!A19</x:f>
        <x:v>13</x:v>
      </x:c>
      <x:c r="B22" s="32" t="str">
        <x:f>'Creator Candidates'!B19</x:f>
        <x:v>NPR Music</x:v>
      </x:c>
      <x:c r="C22" s="33" t="n">
        <x:f>'Creator Candidates'!E19</x:f>
        <x:v>2</x:v>
      </x:c>
      <x:c r="D22" s="33" t="n">
        <x:f>'Creator Candidates'!F19</x:f>
        <x:v>81</x:v>
      </x:c>
      <x:c r="E22" s="34" t="str">
        <x:f>'Creator Candidates'!H19</x:f>
        <x:v>Billy Strings: Tiny Desk Concert</x:v>
      </x:c>
      <x:c r="G22" s="91"/>
      <x:c r="H22" s="92"/>
      <x:c r="I22" s="92"/>
      <x:c r="J22" s="92"/>
      <x:c r="K22" s="93"/>
    </x:row>
    <x:row r="23" ht="30" customHeight="1">
      <x:c r="A23" s="31" t="n">
        <x:f>'Creator Candidates'!A20</x:f>
        <x:v>14</x:v>
      </x:c>
      <x:c r="B23" s="32" t="str">
        <x:f>'Creator Candidates'!B20</x:f>
        <x:v>Soft White Underbelly</x:v>
      </x:c>
      <x:c r="C23" s="33" t="n">
        <x:f>'Creator Candidates'!E20</x:f>
        <x:v>2</x:v>
      </x:c>
      <x:c r="D23" s="33" t="n">
        <x:f>'Creator Candidates'!F20</x:f>
        <x:v>85</x:v>
      </x:c>
      <x:c r="E23" s="34" t="str">
        <x:f>'Creator Candidates'!H20</x:f>
        <x:v>Hunting Humans - Detective Howie Ryan and Clark Fredericks</x:v>
      </x:c>
    </x:row>
    <x:row r="24" ht="30" customHeight="1">
      <x:c r="A24" s="35" t="n">
        <x:f>'Creator Candidates'!A21</x:f>
        <x:v>15</x:v>
      </x:c>
      <x:c r="B24" s="36" t="str">
        <x:f>'Creator Candidates'!B21</x:f>
        <x:v>Taylor Swift</x:v>
      </x:c>
      <x:c r="C24" s="37" t="n">
        <x:f>'Creator Candidates'!E21</x:f>
        <x:v>2</x:v>
      </x:c>
      <x:c r="D24" s="37" t="n">
        <x:f>'Creator Candidates'!F21</x:f>
        <x:v>113</x:v>
      </x:c>
      <x:c r="E24" s="38" t="str">
        <x:f>'Creator Candidates'!H21</x:f>
        <x:v>Mix - Taylor Swift - Fortnight (feat. Post Malone) (Official Music Video)</x:v>
      </x:c>
    </x:row>
  </x:sheetData>
  <x:mergeCells>
    <x:mergeCell ref="A1:K1"/>
    <x:mergeCell ref="A2:K2"/>
    <x:mergeCell ref="A4:B4"/>
    <x:mergeCell ref="D4:E4"/>
    <x:mergeCell ref="G4:H4"/>
    <x:mergeCell ref="J4:K4"/>
    <x:mergeCell ref="A5:B6"/>
    <x:mergeCell ref="D5:E6"/>
    <x:mergeCell ref="G5:H6"/>
    <x:mergeCell ref="J5:K6"/>
    <x:mergeCell ref="A8:K8"/>
    <x:mergeCell ref="G9:K9"/>
    <x:mergeCell ref="G10:K15"/>
    <x:mergeCell ref="G17:K17"/>
    <x:mergeCell ref="G18:K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48" hidden="0" customWidth="1"/>
    <x:col min="4" max="4" width="16" hidden="0" customWidth="1"/>
    <x:col min="5" max="5" width="28" hidden="0" customWidth="1"/>
    <x:col min="6" max="6" width="25" hidden="0" customWidth="1"/>
    <x:col min="7" max="7" width="14" hidden="0" customWidth="1"/>
    <x:col min="8" max="8" width="15" hidden="0" customWidth="1"/>
    <x:col min="9" max="9" width="15" hidden="0" customWidth="1"/>
    <x:col min="10" max="10" width="15" hidden="0" customWidth="1"/>
    <x:col min="11" max="11" width="52" hidden="0" customWidth="1"/>
    <x:col min="12" max="12" width="52" hidden="0" customWidth="1"/>
  </x:cols>
  <x:sheetData>
    <x:row r="1" ht="34" customHeight="1">
      <x:c r="A1" s="94" t="str">
        <x:v>YouTube Home Feed — Every Collected Recommendation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  <x:c r="L1" s="94"/>
    </x:row>
    <x:row r="2" ht="22" customHeight="1">
      <x:c r="A2" s="5" t="str">
        <x:v>229 unique Home recommendations in original feed order. URLs are plain-text source links.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 ht="21" customHeight="1">
      <x:c r="A4" s="95" t="str">
        <x:v>Filter “Subscribed?” to No to isolate new adjacent creators.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</x:row>
    <x:row r="6">
      <x:c r="A6" t="str">
        <x:v>Position</x:v>
      </x:c>
      <x:c r="B6" t="str">
        <x:v>Type</x:v>
      </x:c>
      <x:c r="C6" t="str">
        <x:v>Video Title</x:v>
      </x:c>
      <x:c r="D6" t="str">
        <x:v>Video ID</x:v>
      </x:c>
      <x:c r="E6" t="str">
        <x:v>Channel</x:v>
      </x:c>
      <x:c r="F6" t="str">
        <x:v>Handle</x:v>
      </x:c>
      <x:c r="G6" t="str">
        <x:v>Subscribed?</x:v>
      </x:c>
      <x:c r="H6" t="str">
        <x:v>Views</x:v>
      </x:c>
      <x:c r="I6" t="str">
        <x:v>Published</x:v>
      </x:c>
      <x:c r="J6" t="str">
        <x:v>Duration</x:v>
      </x:c>
      <x:c r="K6" t="str">
        <x:v>Video URL</x:v>
      </x:c>
      <x:c r="L6" t="str">
        <x:v>Channel URL</x:v>
      </x:c>
    </x:row>
    <x:row r="7" ht="32" customHeight="1">
      <x:c r="A7" s="26" t="n">
        <x:v>1</x:v>
      </x:c>
      <x:c r="B7" s="26" t="str">
        <x:v>Video</x:v>
      </x:c>
      <x:c r="C7" s="27" t="str">
        <x:v>How I Use AI to Learn Things</x:v>
      </x:c>
      <x:c r="D7" t="str">
        <x:v>kzcI5F4tGiU</x:v>
      </x:c>
      <x:c r="E7" t="str">
        <x:v>Eero Alvar</x:v>
      </x:c>
      <x:c r="F7" t="str">
        <x:v>@EeroAlvar</x:v>
      </x:c>
      <x:c r="G7" s="26" t="str">
        <x:f>IF(OR(COUNTIF('Current Subscriptions'!$B$7:$B$83,E7)&gt;0,COUNTIF('Current Subscriptions'!$C$7:$C$83,F7)&gt;0),"Yes","No")</x:f>
        <x:v>No</x:v>
      </x:c>
      <x:c r="H7" s="26" t="str">
        <x:v>169K views</x:v>
      </x:c>
      <x:c r="I7" s="26" t="str">
        <x:v>12 days ago</x:v>
      </x:c>
      <x:c r="J7" s="26" t="str">
        <x:v>18:59</x:v>
      </x:c>
      <x:c r="K7" s="96" t="str">
        <x:v>https://www.youtube.com/watch?v=kzcI5F4tGiU&amp;pp=ugUEEgJlbg%3D%3D</x:v>
      </x:c>
      <x:c r="L7" s="96" t="str">
        <x:v>https://www.youtube.com/@EeroAlvar</x:v>
      </x:c>
    </x:row>
    <x:row r="8" ht="32" customHeight="1">
      <x:c r="A8" s="26" t="n">
        <x:v>2</x:v>
      </x:c>
      <x:c r="B8" s="26" t="str">
        <x:v>Video</x:v>
      </x:c>
      <x:c r="C8" s="27" t="str">
        <x:v>coulou's cafe trumpet meditations (1hr) - relaxing river mix</x:v>
      </x:c>
      <x:c r="D8" t="str">
        <x:v>R_UKPGu7Jt0</x:v>
      </x:c>
      <x:c r="E8" t="str">
        <x:v>COULOU</x:v>
      </x:c>
      <x:c r="F8" t="str">
        <x:v>@coulou__</x:v>
      </x:c>
      <x:c r="G8" s="26" t="str">
        <x:f>IF(OR(COUNTIF('Current Subscriptions'!$B$7:$B$83,E8)&gt;0,COUNTIF('Current Subscriptions'!$C$7:$C$83,F8)&gt;0),"Yes","No")</x:f>
        <x:v>No</x:v>
      </x:c>
      <x:c r="H8" s="26" t="str">
        <x:v>159K views</x:v>
      </x:c>
      <x:c r="I8" s="26" t="str">
        <x:v>6 months ago</x:v>
      </x:c>
      <x:c r="J8" s="26" t="str">
        <x:v>1:12:59</x:v>
      </x:c>
      <x:c r="K8" s="96" t="str">
        <x:v>https://www.youtube.com/watch?v=R_UKPGu7Jt0</x:v>
      </x:c>
      <x:c r="L8" s="96" t="str">
        <x:v>https://www.youtube.com/@coulou__</x:v>
      </x:c>
    </x:row>
    <x:row r="9" ht="32" customHeight="1">
      <x:c r="A9" s="26" t="n">
        <x:v>3</x:v>
      </x:c>
      <x:c r="B9" s="26" t="str">
        <x:v>Video</x:v>
      </x:c>
      <x:c r="C9" s="27" t="str">
        <x:v>Not Surprised At All</x:v>
      </x:c>
      <x:c r="D9" t="str">
        <x:v>mPqdOSeBHbs</x:v>
      </x:c>
      <x:c r="E9" t="str">
        <x:v>penguinz0</x:v>
      </x:c>
      <x:c r="F9" t="str">
        <x:v>@penguinz0</x:v>
      </x:c>
      <x:c r="G9" s="26" t="str">
        <x:f>IF(OR(COUNTIF('Current Subscriptions'!$B$7:$B$83,E9)&gt;0,COUNTIF('Current Subscriptions'!$C$7:$C$83,F9)&gt;0),"Yes","No")</x:f>
        <x:v>No</x:v>
      </x:c>
      <x:c r="H9" s="26" t="str">
        <x:v>5.8M views</x:v>
      </x:c>
      <x:c r="I9" s="26" t="str">
        <x:v>1 day ago</x:v>
      </x:c>
      <x:c r="J9" s="26" t="str">
        <x:v>8:51</x:v>
      </x:c>
      <x:c r="K9" s="96" t="str">
        <x:v>https://www.youtube.com/watch?v=mPqdOSeBHbs&amp;pp=ugUEEgJlbg%3D%3D</x:v>
      </x:c>
      <x:c r="L9" s="96" t="str">
        <x:v>https://www.youtube.com/@penguinz0</x:v>
      </x:c>
    </x:row>
    <x:row r="10" ht="32" customHeight="1">
      <x:c r="A10" s="26" t="n">
        <x:v>4</x:v>
      </x:c>
      <x:c r="B10" s="26" t="str">
        <x:v>Video</x:v>
      </x:c>
      <x:c r="C10" s="27" t="str">
        <x:v>The Shame of Not Being Enough for Them</x:v>
      </x:c>
      <x:c r="D10" t="str">
        <x:v>lOV5nyyzOxk</x:v>
      </x:c>
      <x:c r="E10" t="str">
        <x:v>Carol Dantas</x:v>
      </x:c>
      <x:c r="F10" t="str">
        <x:v>@miss_dantas</x:v>
      </x:c>
      <x:c r="G10" s="26" t="str">
        <x:f>IF(OR(COUNTIF('Current Subscriptions'!$B$7:$B$83,E10)&gt;0,COUNTIF('Current Subscriptions'!$C$7:$C$83,F10)&gt;0),"Yes","No")</x:f>
        <x:v>No</x:v>
      </x:c>
      <x:c r="H10" s="26" t="str">
        <x:v>505 views</x:v>
      </x:c>
      <x:c r="I10" s="26" t="str">
        <x:v>16 hours ago</x:v>
      </x:c>
      <x:c r="J10" s="26" t="str">
        <x:v>13:48</x:v>
      </x:c>
      <x:c r="K10" s="96" t="str">
        <x:v>https://www.youtube.com/watch?v=lOV5nyyzOxk&amp;pp=ugUEEgJlbg%3D%3D</x:v>
      </x:c>
      <x:c r="L10" s="96" t="str">
        <x:v>https://www.youtube.com/@miss_dantas</x:v>
      </x:c>
    </x:row>
    <x:row r="11" ht="32" customHeight="1">
      <x:c r="A11" s="26" t="n">
        <x:v>5</x:v>
      </x:c>
      <x:c r="B11" s="26" t="str">
        <x:v>Video</x:v>
      </x:c>
      <x:c r="C11" s="27" t="str">
        <x:v>the neuroscience behind why some homes feel good but most don't</x:v>
      </x:c>
      <x:c r="D11" t="str">
        <x:v>kQ_cNz6cScE</x:v>
      </x:c>
      <x:c r="E11" t="str">
        <x:v>Five By Nine</x:v>
      </x:c>
      <x:c r="F11" t="str">
        <x:v>@fivebynine</x:v>
      </x:c>
      <x:c r="G11" s="26" t="str">
        <x:f>IF(OR(COUNTIF('Current Subscriptions'!$B$7:$B$83,E11)&gt;0,COUNTIF('Current Subscriptions'!$C$7:$C$83,F11)&gt;0),"Yes","No")</x:f>
        <x:v>No</x:v>
      </x:c>
      <x:c r="H11" s="26" t="str">
        <x:v>711K views</x:v>
      </x:c>
      <x:c r="I11" s="26" t="str">
        <x:v>7 days ago</x:v>
      </x:c>
      <x:c r="J11" s="26" t="str">
        <x:v>23:08</x:v>
      </x:c>
      <x:c r="K11" s="96" t="str">
        <x:v>https://www.youtube.com/watch?v=kQ_cNz6cScE</x:v>
      </x:c>
      <x:c r="L11" s="96" t="str">
        <x:v>https://www.youtube.com/@fivebynine</x:v>
      </x:c>
    </x:row>
    <x:row r="12" ht="32" customHeight="1">
      <x:c r="A12" s="26" t="n">
        <x:v>6</x:v>
      </x:c>
      <x:c r="B12" s="26" t="str">
        <x:v>Video</x:v>
      </x:c>
      <x:c r="C12" s="27" t="str">
        <x:v>Protecting Your Energy</x:v>
      </x:c>
      <x:c r="D12" t="str">
        <x:v>GEkoGCFpY8c</x:v>
      </x:c>
      <x:c r="E12" t="str">
        <x:v>The PrimeTime</x:v>
      </x:c>
      <x:c r="F12" t="str">
        <x:v>@ThePrimeTimeagen</x:v>
      </x:c>
      <x:c r="G12" s="26" t="str">
        <x:f>IF(OR(COUNTIF('Current Subscriptions'!$B$7:$B$83,E12)&gt;0,COUNTIF('Current Subscriptions'!$C$7:$C$83,F12)&gt;0),"Yes","No")</x:f>
        <x:v>No</x:v>
      </x:c>
      <x:c r="H12" s="26" t="str">
        <x:v>71K views</x:v>
      </x:c>
      <x:c r="I12" s="26" t="str">
        <x:v>6 hours ago</x:v>
      </x:c>
      <x:c r="J12" s="26" t="str">
        <x:v>22:51</x:v>
      </x:c>
      <x:c r="K12" s="96" t="str">
        <x:v>https://www.youtube.com/watch?v=GEkoGCFpY8c&amp;pp=ugUHEgVlbi1VUw%3D%3D</x:v>
      </x:c>
      <x:c r="L12" s="96" t="str">
        <x:v>https://www.youtube.com/@ThePrimeTimeagen</x:v>
      </x:c>
    </x:row>
    <x:row r="13" ht="32" customHeight="1">
      <x:c r="A13" s="26" t="n">
        <x:v>7</x:v>
      </x:c>
      <x:c r="B13" s="26" t="str">
        <x:v>Short</x:v>
      </x:c>
      <x:c r="C13" s="27" t="str">
        <x:v>Why We Don’t Sell Our Copper as Scrap 🔥…</x:v>
      </x:c>
      <x:c r="D13" t="str">
        <x:v>T0EDcdk-WVc</x:v>
      </x:c>
      <x:c r="E13" t="str">
        <x:v>FJSCopper</x:v>
      </x:c>
      <x:c r="F13" t="str">
        <x:v>@FJSCopper</x:v>
      </x:c>
      <x:c r="G13" s="26" t="str">
        <x:f>IF(OR(COUNTIF('Current Subscriptions'!$B$7:$B$83,E13)&gt;0,COUNTIF('Current Subscriptions'!$C$7:$C$83,F13)&gt;0),"Yes","No")</x:f>
        <x:v>No</x:v>
      </x:c>
      <x:c r="H13" s="26" t="str">
        <x:v>231K views</x:v>
      </x:c>
      <x:c r="I13" s="26" t="str"/>
      <x:c r="J13" s="26" t="str"/>
      <x:c r="K13" s="96" t="str">
        <x:v>https://www.youtube.com/shorts/T0EDcdk-WVc</x:v>
      </x:c>
      <x:c r="L13" s="96" t="str">
        <x:v>https://www.youtube.com/@FJSCopper</x:v>
      </x:c>
    </x:row>
    <x:row r="14" ht="32" customHeight="1">
      <x:c r="A14" s="26" t="n">
        <x:v>8</x:v>
      </x:c>
      <x:c r="B14" s="26" t="str">
        <x:v>Short</x:v>
      </x:c>
      <x:c r="C14" s="27" t="str">
        <x:v>Does This Really Work?! 🔥 SMD Soldering &amp; PCB Tinning With a Transistor-Powered Soldering Station</x:v>
      </x:c>
      <x:c r="D14" t="str">
        <x:v>ZzHCJgFTvB0</x:v>
      </x:c>
      <x:c r="E14" t="str">
        <x:v>SMD VIBE</x:v>
      </x:c>
      <x:c r="F14" t="str">
        <x:v>@smdvibe</x:v>
      </x:c>
      <x:c r="G14" s="26" t="str">
        <x:f>IF(OR(COUNTIF('Current Subscriptions'!$B$7:$B$83,E14)&gt;0,COUNTIF('Current Subscriptions'!$C$7:$C$83,F14)&gt;0),"Yes","No")</x:f>
        <x:v>No</x:v>
      </x:c>
      <x:c r="H14" s="26" t="str">
        <x:v>193K views</x:v>
      </x:c>
      <x:c r="I14" s="26" t="str"/>
      <x:c r="J14" s="26" t="str"/>
      <x:c r="K14" s="96" t="str">
        <x:v>https://www.youtube.com/shorts/ZzHCJgFTvB0</x:v>
      </x:c>
      <x:c r="L14" s="96" t="str">
        <x:v>https://www.youtube.com/@smdvibe</x:v>
      </x:c>
    </x:row>
    <x:row r="15" ht="32" customHeight="1">
      <x:c r="A15" s="26" t="n">
        <x:v>9</x:v>
      </x:c>
      <x:c r="B15" s="26" t="str">
        <x:v>Short</x:v>
      </x:c>
      <x:c r="C15" s="27" t="str">
        <x:v>Remove Chip Glue Easily…</x:v>
      </x:c>
      <x:c r="D15" t="str">
        <x:v>e-6I4UcDvAs</x:v>
      </x:c>
      <x:c r="E15" t="str">
        <x:v>ideal institute aligarh</x:v>
      </x:c>
      <x:c r="F15" t="str">
        <x:v>@idealinstitutealigarh</x:v>
      </x:c>
      <x:c r="G15" s="26" t="str">
        <x:f>IF(OR(COUNTIF('Current Subscriptions'!$B$7:$B$83,E15)&gt;0,COUNTIF('Current Subscriptions'!$C$7:$C$83,F15)&gt;0),"Yes","No")</x:f>
        <x:v>No</x:v>
      </x:c>
      <x:c r="H15" s="26" t="str">
        <x:v>52K views</x:v>
      </x:c>
      <x:c r="I15" s="26" t="str"/>
      <x:c r="J15" s="26" t="str"/>
      <x:c r="K15" s="96" t="str">
        <x:v>https://www.youtube.com/shorts/e-6I4UcDvAs</x:v>
      </x:c>
      <x:c r="L15" s="96" t="str">
        <x:v>https://www.youtube.com/@idealinstitutealigarh</x:v>
      </x:c>
    </x:row>
    <x:row r="16" ht="32" customHeight="1">
      <x:c r="A16" s="26" t="n">
        <x:v>10</x:v>
      </x:c>
      <x:c r="B16" s="26" t="str">
        <x:v>Short</x:v>
      </x:c>
      <x:c r="C16" s="27" t="str">
        <x:v>The Genius Reason People Braid Their Grass</x:v>
      </x:c>
      <x:c r="D16" t="str">
        <x:v>qa-W0tx5WBY</x:v>
      </x:c>
      <x:c r="E16" t="str">
        <x:v>Clip Rotter</x:v>
      </x:c>
      <x:c r="F16" t="str">
        <x:v>@ClipRotter</x:v>
      </x:c>
      <x:c r="G16" s="26" t="str">
        <x:f>IF(OR(COUNTIF('Current Subscriptions'!$B$7:$B$83,E16)&gt;0,COUNTIF('Current Subscriptions'!$C$7:$C$83,F16)&gt;0),"Yes","No")</x:f>
        <x:v>No</x:v>
      </x:c>
      <x:c r="H16" s="26" t="str">
        <x:v>15M views</x:v>
      </x:c>
      <x:c r="I16" s="26" t="str"/>
      <x:c r="J16" s="26" t="str"/>
      <x:c r="K16" s="96" t="str">
        <x:v>https://www.youtube.com/shorts/qa-W0tx5WBY</x:v>
      </x:c>
      <x:c r="L16" s="96" t="str">
        <x:v>https://www.youtube.com/@ClipRotter</x:v>
      </x:c>
    </x:row>
    <x:row r="17" ht="32" customHeight="1">
      <x:c r="A17" s="26" t="n">
        <x:v>11</x:v>
      </x:c>
      <x:c r="B17" s="26" t="str">
        <x:v>Short</x:v>
      </x:c>
      <x:c r="C17" s="27" t="str">
        <x:v>my dad ⚒️</x:v>
      </x:c>
      <x:c r="D17" t="str">
        <x:v>8lMr6QiBek0</x:v>
      </x:c>
      <x:c r="E17" t="str">
        <x:v>Natalie Gee</x:v>
      </x:c>
      <x:c r="F17" t="str">
        <x:v>@natalie_gee</x:v>
      </x:c>
      <x:c r="G17" s="26" t="str">
        <x:f>IF(OR(COUNTIF('Current Subscriptions'!$B$7:$B$83,E17)&gt;0,COUNTIF('Current Subscriptions'!$C$7:$C$83,F17)&gt;0),"Yes","No")</x:f>
        <x:v>No</x:v>
      </x:c>
      <x:c r="H17" s="26" t="str">
        <x:v>6.2M views</x:v>
      </x:c>
      <x:c r="I17" s="26" t="str"/>
      <x:c r="J17" s="26" t="str"/>
      <x:c r="K17" s="96" t="str">
        <x:v>https://www.youtube.com/shorts/8lMr6QiBek0</x:v>
      </x:c>
      <x:c r="L17" s="96" t="str">
        <x:v>https://www.youtube.com/@natalie_gee</x:v>
      </x:c>
    </x:row>
    <x:row r="18" ht="32" customHeight="1">
      <x:c r="A18" s="26" t="n">
        <x:v>12</x:v>
      </x:c>
      <x:c r="B18" s="26" t="str">
        <x:v>Mix</x:v>
      </x:c>
      <x:c r="C18" s="27" t="str">
        <x:v>Mix - Daft Punk - Get Lucky (Official Video) feat. Pharrell Williams and Nile Rodgers</x:v>
      </x:c>
      <x:c r="D18" t="str">
        <x:v>CCHdMIEGaaM</x:v>
      </x:c>
      <x:c r="E18" t="str">
        <x:v>convar HUN</x:v>
      </x:c>
      <x:c r="F18" t="str">
        <x:v>@convarHUN</x:v>
      </x:c>
      <x:c r="G18" s="26" t="str">
        <x:f>IF(OR(COUNTIF('Current Subscriptions'!$B$7:$B$83,E18)&gt;0,COUNTIF('Current Subscriptions'!$C$7:$C$83,F18)&gt;0),"Yes","No")</x:f>
        <x:v>No</x:v>
      </x:c>
      <x:c r="H18" s="26" t="str"/>
      <x:c r="I18" s="26" t="str"/>
      <x:c r="J18" s="26" t="str"/>
      <x:c r="K18" s="96" t="str">
        <x:v>https://www.youtube.com/watch?v=CCHdMIEGaaM&amp;list=RDCCHdMIEGaaM&amp;start_radio=1&amp;pp=0gcJCf4COCosWNin</x:v>
      </x:c>
      <x:c r="L18" s="96" t="str">
        <x:v>https://www.youtube.com/@convarHUN</x:v>
      </x:c>
    </x:row>
    <x:row r="19" ht="32" customHeight="1">
      <x:c r="A19" s="26" t="n">
        <x:v>13</x:v>
      </x:c>
      <x:c r="B19" s="26" t="str">
        <x:v>Video</x:v>
      </x:c>
      <x:c r="C19" s="27" t="str">
        <x:v>There's a new Linux distro in town for developers...</x:v>
      </x:c>
      <x:c r="D19" t="str">
        <x:v>DC2p3kFjcK0</x:v>
      </x:c>
      <x:c r="E19" t="str">
        <x:v>Fireship</x:v>
      </x:c>
      <x:c r="F19" t="str">
        <x:v>@Fireship</x:v>
      </x:c>
      <x:c r="G19" s="26" t="str">
        <x:f>IF(OR(COUNTIF('Current Subscriptions'!$B$7:$B$83,E19)&gt;0,COUNTIF('Current Subscriptions'!$C$7:$C$83,F19)&gt;0),"Yes","No")</x:f>
        <x:v>Yes</x:v>
      </x:c>
      <x:c r="H19" s="26" t="str">
        <x:v>842K views</x:v>
      </x:c>
      <x:c r="I19" s="26" t="str">
        <x:v>11 months ago</x:v>
      </x:c>
      <x:c r="J19" s="26" t="str">
        <x:v>4:38</x:v>
      </x:c>
      <x:c r="K19" s="96" t="str">
        <x:v>https://www.youtube.com/watch?v=DC2p3kFjcK0</x:v>
      </x:c>
      <x:c r="L19" s="96" t="str">
        <x:v>https://www.youtube.com/@Fireship</x:v>
      </x:c>
    </x:row>
    <x:row r="20" ht="32" customHeight="1">
      <x:c r="A20" s="26" t="n">
        <x:v>14</x:v>
      </x:c>
      <x:c r="B20" s="26" t="str">
        <x:v>Video</x:v>
      </x:c>
      <x:c r="C20" s="27" t="str">
        <x:v>C++ Game Dev - 3D Modeling and Substance Painter</x:v>
      </x:c>
      <x:c r="D20" t="str">
        <x:v>1gy4sfsWGko</x:v>
      </x:c>
      <x:c r="E20" t="str">
        <x:v>Nightcrawler Studios</x:v>
      </x:c>
      <x:c r="F20" t="str">
        <x:v>@NightcrawlerGames</x:v>
      </x:c>
      <x:c r="G20" s="26" t="str">
        <x:f>IF(OR(COUNTIF('Current Subscriptions'!$B$7:$B$83,E20)&gt;0,COUNTIF('Current Subscriptions'!$C$7:$C$83,F20)&gt;0),"Yes","No")</x:f>
        <x:v>No</x:v>
      </x:c>
      <x:c r="H20" s="26" t="str">
        <x:v>633 views</x:v>
      </x:c>
      <x:c r="I20" s="26" t="str">
        <x:v>Streamed 17 hours ago</x:v>
      </x:c>
      <x:c r="J20" s="26" t="str">
        <x:v>1:43:26</x:v>
      </x:c>
      <x:c r="K20" s="96" t="str">
        <x:v>https://www.youtube.com/watch?v=1gy4sfsWGko</x:v>
      </x:c>
      <x:c r="L20" s="96" t="str">
        <x:v>https://www.youtube.com/@NightcrawlerGames</x:v>
      </x:c>
    </x:row>
    <x:row r="21" ht="32" customHeight="1">
      <x:c r="A21" s="26" t="n">
        <x:v>15</x:v>
      </x:c>
      <x:c r="B21" s="26" t="str">
        <x:v>Video</x:v>
      </x:c>
      <x:c r="C21" s="27" t="str">
        <x:v>3 Hours of Generative Ambient for Deep Focus · Modular Synth &amp; Tape (No AI)</x:v>
      </x:c>
      <x:c r="D21" t="str">
        <x:v>Bev6TXDfnvA</x:v>
      </x:c>
      <x:c r="E21" t="str">
        <x:v>Pierre's Generative Music</x:v>
      </x:c>
      <x:c r="F21" t="str">
        <x:v>@pierresgenerativemusic</x:v>
      </x:c>
      <x:c r="G21" s="26" t="str">
        <x:f>IF(OR(COUNTIF('Current Subscriptions'!$B$7:$B$83,E21)&gt;0,COUNTIF('Current Subscriptions'!$C$7:$C$83,F21)&gt;0),"Yes","No")</x:f>
        <x:v>No</x:v>
      </x:c>
      <x:c r="H21" s="26" t="str">
        <x:v>78K views</x:v>
      </x:c>
      <x:c r="I21" s="26" t="str">
        <x:v>4 weeks ago</x:v>
      </x:c>
      <x:c r="J21" s="26" t="str">
        <x:v>3:00:01</x:v>
      </x:c>
      <x:c r="K21" s="96" t="str">
        <x:v>https://www.youtube.com/watch?v=Bev6TXDfnvA&amp;pp=0gcJCRMMAYcqIYzv</x:v>
      </x:c>
      <x:c r="L21" s="96" t="str">
        <x:v>https://www.youtube.com/@pierresgenerativemusic</x:v>
      </x:c>
    </x:row>
    <x:row r="22" ht="32" customHeight="1">
      <x:c r="A22" s="26" t="n">
        <x:v>16</x:v>
      </x:c>
      <x:c r="B22" s="26" t="str">
        <x:v>Video</x:v>
      </x:c>
      <x:c r="C22" s="27" t="str">
        <x:v>Therapy for the Vibe-Coded Brain</x:v>
      </x:c>
      <x:c r="D22" t="str">
        <x:v>DkhhE97Swmo</x:v>
      </x:c>
      <x:c r="E22" t="str">
        <x:v>JetBrains Academy</x:v>
      </x:c>
      <x:c r="F22" t="str">
        <x:v>@JetBrainsAcademy</x:v>
      </x:c>
      <x:c r="G22" s="26" t="str">
        <x:f>IF(OR(COUNTIF('Current Subscriptions'!$B$7:$B$83,E22)&gt;0,COUNTIF('Current Subscriptions'!$C$7:$C$83,F22)&gt;0),"Yes","No")</x:f>
        <x:v>No</x:v>
      </x:c>
      <x:c r="H22" s="26" t="str">
        <x:v>223K views</x:v>
      </x:c>
      <x:c r="I22" s="26" t="str">
        <x:v>8 days ago</x:v>
      </x:c>
      <x:c r="J22" s="26" t="str">
        <x:v>10:01</x:v>
      </x:c>
      <x:c r="K22" s="96" t="str">
        <x:v>https://www.youtube.com/watch?v=DkhhE97Swmo&amp;pp=ugUHEgVlbi1VUw%3D%3D</x:v>
      </x:c>
      <x:c r="L22" s="96" t="str">
        <x:v>https://www.youtube.com/@JetBrainsAcademy</x:v>
      </x:c>
    </x:row>
    <x:row r="23" ht="32" customHeight="1">
      <x:c r="A23" s="26" t="n">
        <x:v>17</x:v>
      </x:c>
      <x:c r="B23" s="26" t="str">
        <x:v>Video</x:v>
      </x:c>
      <x:c r="C23" s="27" t="str">
        <x:v>How to Actually Learn C (2027 Edition)</x:v>
      </x:c>
      <x:c r="D23" t="str">
        <x:v>GqEeOrDk5DI</x:v>
      </x:c>
      <x:c r="E23" t="str">
        <x:v>tony</x:v>
      </x:c>
      <x:c r="F23" t="str">
        <x:v>@tony-btw</x:v>
      </x:c>
      <x:c r="G23" s="26" t="str">
        <x:f>IF(OR(COUNTIF('Current Subscriptions'!$B$7:$B$83,E23)&gt;0,COUNTIF('Current Subscriptions'!$C$7:$C$83,F23)&gt;0),"Yes","No")</x:f>
        <x:v>No</x:v>
      </x:c>
      <x:c r="H23" s="26" t="str">
        <x:v>190K views</x:v>
      </x:c>
      <x:c r="I23" s="26" t="str">
        <x:v>2 months ago</x:v>
      </x:c>
      <x:c r="J23" s="26" t="str">
        <x:v>31:41</x:v>
      </x:c>
      <x:c r="K23" s="96" t="str">
        <x:v>https://www.youtube.com/watch?v=GqEeOrDk5DI&amp;pp=ugUEEgJlbg%3D%3D</x:v>
      </x:c>
      <x:c r="L23" s="96" t="str">
        <x:v>https://www.youtube.com/@tony-btw</x:v>
      </x:c>
    </x:row>
    <x:row r="24" ht="32" customHeight="1">
      <x:c r="A24" s="26" t="n">
        <x:v>18</x:v>
      </x:c>
      <x:c r="B24" s="26" t="str">
        <x:v>Short</x:v>
      </x:c>
      <x:c r="C24" s="27" t="str">
        <x:v>This 1960s Board Proves Engineers Didn’t Trust the First ICs Yet…</x:v>
      </x:c>
      <x:c r="D24" t="str">
        <x:v>pggMgGz-y2U</x:v>
      </x:c>
      <x:c r="E24" t="str">
        <x:v>Todd Arnold</x:v>
      </x:c>
      <x:c r="F24" t="str">
        <x:v>@RealSpaceJunk</x:v>
      </x:c>
      <x:c r="G24" s="26" t="str">
        <x:f>IF(OR(COUNTIF('Current Subscriptions'!$B$7:$B$83,E24)&gt;0,COUNTIF('Current Subscriptions'!$C$7:$C$83,F24)&gt;0),"Yes","No")</x:f>
        <x:v>No</x:v>
      </x:c>
      <x:c r="H24" s="26" t="str">
        <x:v>45K views</x:v>
      </x:c>
      <x:c r="I24" s="26" t="str"/>
      <x:c r="J24" s="26" t="str"/>
      <x:c r="K24" s="96" t="str">
        <x:v>https://www.youtube.com/shorts/pggMgGz-y2U</x:v>
      </x:c>
      <x:c r="L24" s="96" t="str">
        <x:v>https://www.youtube.com/@RealSpaceJunk</x:v>
      </x:c>
    </x:row>
    <x:row r="25" ht="32" customHeight="1">
      <x:c r="A25" s="26" t="n">
        <x:v>19</x:v>
      </x:c>
      <x:c r="B25" s="26" t="str">
        <x:v>Short</x:v>
      </x:c>
      <x:c r="C25" s="27" t="str">
        <x:v>🔥 4 Awesome 3D Prints Worth Printing Today!</x:v>
      </x:c>
      <x:c r="D25" t="str">
        <x:v>BiDTMC0K4M0</x:v>
      </x:c>
      <x:c r="E25" t="str">
        <x:v>Maker3DPrint</x:v>
      </x:c>
      <x:c r="F25" t="str">
        <x:v>@Maker3DPrint</x:v>
      </x:c>
      <x:c r="G25" s="26" t="str">
        <x:f>IF(OR(COUNTIF('Current Subscriptions'!$B$7:$B$83,E25)&gt;0,COUNTIF('Current Subscriptions'!$C$7:$C$83,F25)&gt;0),"Yes","No")</x:f>
        <x:v>No</x:v>
      </x:c>
      <x:c r="H25" s="26" t="str">
        <x:v>3.5M views</x:v>
      </x:c>
      <x:c r="I25" s="26" t="str"/>
      <x:c r="J25" s="26" t="str"/>
      <x:c r="K25" s="96" t="str">
        <x:v>https://www.youtube.com/shorts/BiDTMC0K4M0</x:v>
      </x:c>
      <x:c r="L25" s="96" t="str">
        <x:v>https://www.youtube.com/@Maker3DPrint</x:v>
      </x:c>
    </x:row>
    <x:row r="26" ht="32" customHeight="1">
      <x:c r="A26" s="26" t="n">
        <x:v>20</x:v>
      </x:c>
      <x:c r="B26" s="26" t="str">
        <x:v>Short</x:v>
      </x:c>
      <x:c r="C26" s="27" t="str">
        <x:v>This is blacksmithing! This is alchemy! This is Boilermaking‼️‼️…</x:v>
      </x:c>
      <x:c r="D26" t="str">
        <x:v>lns0SQzZNcQ</x:v>
      </x:c>
      <x:c r="E26" t="str">
        <x:v>Mychael T Renn</x:v>
      </x:c>
      <x:c r="F26" t="str">
        <x:v>@Renndontcare</x:v>
      </x:c>
      <x:c r="G26" s="26" t="str">
        <x:f>IF(OR(COUNTIF('Current Subscriptions'!$B$7:$B$83,E26)&gt;0,COUNTIF('Current Subscriptions'!$C$7:$C$83,F26)&gt;0),"Yes","No")</x:f>
        <x:v>No</x:v>
      </x:c>
      <x:c r="H26" s="26" t="str">
        <x:v>1.4M views</x:v>
      </x:c>
      <x:c r="I26" s="26" t="str"/>
      <x:c r="J26" s="26" t="str"/>
      <x:c r="K26" s="96" t="str">
        <x:v>https://www.youtube.com/shorts/lns0SQzZNcQ</x:v>
      </x:c>
      <x:c r="L26" s="96" t="str">
        <x:v>https://www.youtube.com/@Renndontcare</x:v>
      </x:c>
    </x:row>
    <x:row r="27" ht="32" customHeight="1">
      <x:c r="A27" s="26" t="n">
        <x:v>21</x:v>
      </x:c>
      <x:c r="B27" s="26" t="str">
        <x:v>Short</x:v>
      </x:c>
      <x:c r="C27" s="27" t="str">
        <x:v>Why you should never leave your wires exposed!</x:v>
      </x:c>
      <x:c r="D27" t="str">
        <x:v>5pdSNcY8ab8</x:v>
      </x:c>
      <x:c r="E27" t="str">
        <x:v>Well Done Tips</x:v>
      </x:c>
      <x:c r="F27" t="str">
        <x:v>@welldonetips</x:v>
      </x:c>
      <x:c r="G27" s="26" t="str">
        <x:f>IF(OR(COUNTIF('Current Subscriptions'!$B$7:$B$83,E27)&gt;0,COUNTIF('Current Subscriptions'!$C$7:$C$83,F27)&gt;0),"Yes","No")</x:f>
        <x:v>No</x:v>
      </x:c>
      <x:c r="H27" s="26" t="str">
        <x:v>381K views</x:v>
      </x:c>
      <x:c r="I27" s="26" t="str"/>
      <x:c r="J27" s="26" t="str"/>
      <x:c r="K27" s="96" t="str">
        <x:v>https://www.youtube.com/shorts/5pdSNcY8ab8</x:v>
      </x:c>
      <x:c r="L27" s="96" t="str">
        <x:v>https://www.youtube.com/@welldonetips</x:v>
      </x:c>
    </x:row>
    <x:row r="28" ht="32" customHeight="1">
      <x:c r="A28" s="26" t="n">
        <x:v>22</x:v>
      </x:c>
      <x:c r="B28" s="26" t="str">
        <x:v>Short</x:v>
      </x:c>
      <x:c r="C28" s="27" t="str">
        <x:v>#Magnetism #Science #Magnets ￼</x:v>
      </x:c>
      <x:c r="D28" t="str">
        <x:v>r-r51zypYLY</x:v>
      </x:c>
      <x:c r="E28" t="str">
        <x:v>WyattsSaab</x:v>
      </x:c>
      <x:c r="F28" t="str">
        <x:v>@WyattsSaab</x:v>
      </x:c>
      <x:c r="G28" s="26" t="str">
        <x:f>IF(OR(COUNTIF('Current Subscriptions'!$B$7:$B$83,E28)&gt;0,COUNTIF('Current Subscriptions'!$C$7:$C$83,F28)&gt;0),"Yes","No")</x:f>
        <x:v>No</x:v>
      </x:c>
      <x:c r="H28" s="26" t="str">
        <x:v>47K views</x:v>
      </x:c>
      <x:c r="I28" s="26" t="str"/>
      <x:c r="J28" s="26" t="str"/>
      <x:c r="K28" s="96" t="str">
        <x:v>https://www.youtube.com/shorts/r-r51zypYLY</x:v>
      </x:c>
      <x:c r="L28" s="96" t="str">
        <x:v>https://www.youtube.com/@WyattsSaab</x:v>
      </x:c>
    </x:row>
    <x:row r="29" ht="32" customHeight="1">
      <x:c r="A29" s="26" t="n">
        <x:v>23</x:v>
      </x:c>
      <x:c r="B29" s="26" t="str">
        <x:v>Video</x:v>
      </x:c>
      <x:c r="C29" s="27" t="str">
        <x:v>Your ADHD Brain Needs This in the Morning</x:v>
      </x:c>
      <x:c r="D29" t="str">
        <x:v>bvZGZuh2n2I</x:v>
      </x:c>
      <x:c r="E29" t="str">
        <x:v>How to ADHD</x:v>
      </x:c>
      <x:c r="F29" t="str">
        <x:v>@HowtoADHD</x:v>
      </x:c>
      <x:c r="G29" s="26" t="str">
        <x:f>IF(OR(COUNTIF('Current Subscriptions'!$B$7:$B$83,E29)&gt;0,COUNTIF('Current Subscriptions'!$C$7:$C$83,F29)&gt;0),"Yes","No")</x:f>
        <x:v>No</x:v>
      </x:c>
      <x:c r="H29" s="26" t="str">
        <x:v>396K views</x:v>
      </x:c>
      <x:c r="I29" s="26" t="str">
        <x:v>8 months ago</x:v>
      </x:c>
      <x:c r="J29" s="26" t="str">
        <x:v>8:15</x:v>
      </x:c>
      <x:c r="K29" s="96" t="str">
        <x:v>https://www.youtube.com/watch?v=bvZGZuh2n2I</x:v>
      </x:c>
      <x:c r="L29" s="96" t="str">
        <x:v>https://www.youtube.com/@HowtoADHD</x:v>
      </x:c>
    </x:row>
    <x:row r="30" ht="32" customHeight="1">
      <x:c r="A30" s="26" t="n">
        <x:v>24</x:v>
      </x:c>
      <x:c r="B30" s="26" t="str">
        <x:v>Video</x:v>
      </x:c>
      <x:c r="C30" s="27" t="str">
        <x:v>this video is not about spark plugs</x:v>
      </x:c>
      <x:c r="D30" t="str">
        <x:v>509xIJJdCaA</x:v>
      </x:c>
      <x:c r="E30" t="str">
        <x:v>Angela Collier</x:v>
      </x:c>
      <x:c r="F30" t="str">
        <x:v>@acollierastro</x:v>
      </x:c>
      <x:c r="G30" s="26" t="str">
        <x:f>IF(OR(COUNTIF('Current Subscriptions'!$B$7:$B$83,E30)&gt;0,COUNTIF('Current Subscriptions'!$C$7:$C$83,F30)&gt;0),"Yes","No")</x:f>
        <x:v>No</x:v>
      </x:c>
      <x:c r="H30" s="26" t="str">
        <x:v>212K views</x:v>
      </x:c>
      <x:c r="I30" s="26" t="str">
        <x:v>8 days ago</x:v>
      </x:c>
      <x:c r="J30" s="26" t="str">
        <x:v>46:46</x:v>
      </x:c>
      <x:c r="K30" s="96" t="str">
        <x:v>https://www.youtube.com/watch?v=509xIJJdCaA</x:v>
      </x:c>
      <x:c r="L30" s="96" t="str">
        <x:v>https://www.youtube.com/@acollierastro</x:v>
      </x:c>
    </x:row>
    <x:row r="31" ht="32" customHeight="1">
      <x:c r="A31" s="26" t="n">
        <x:v>25</x:v>
      </x:c>
      <x:c r="B31" s="26" t="str">
        <x:v>Video</x:v>
      </x:c>
      <x:c r="C31" s="27" t="str">
        <x:v>Why People Are INVISIBLE To Leaders And How To Fix It | Ethan Evans</x:v>
      </x:c>
      <x:c r="D31" t="str">
        <x:v>aTshQwxKk4Q</x:v>
      </x:c>
      <x:c r="E31" t="str">
        <x:v>A Life Engineered</x:v>
      </x:c>
      <x:c r="F31" t="str">
        <x:v>@ALifeEngineered</x:v>
      </x:c>
      <x:c r="G31" s="26" t="str">
        <x:f>IF(OR(COUNTIF('Current Subscriptions'!$B$7:$B$83,E31)&gt;0,COUNTIF('Current Subscriptions'!$C$7:$C$83,F31)&gt;0),"Yes","No")</x:f>
        <x:v>Yes</x:v>
      </x:c>
      <x:c r="H31" s="26" t="str">
        <x:v>220K views</x:v>
      </x:c>
      <x:c r="I31" s="26" t="str">
        <x:v>9 months ago</x:v>
      </x:c>
      <x:c r="J31" s="26" t="str">
        <x:v>49:14</x:v>
      </x:c>
      <x:c r="K31" s="96" t="str">
        <x:v>https://www.youtube.com/watch?v=aTshQwxKk4Q&amp;pp=ugUEEgJlbg%3D%3D</x:v>
      </x:c>
      <x:c r="L31" s="96" t="str">
        <x:v>https://www.youtube.com/@ALifeEngineered</x:v>
      </x:c>
    </x:row>
    <x:row r="32" ht="32" customHeight="1">
      <x:c r="A32" s="26" t="n">
        <x:v>26</x:v>
      </x:c>
      <x:c r="B32" s="26" t="str">
        <x:v>Video</x:v>
      </x:c>
      <x:c r="C32" s="27" t="str">
        <x:v>this will find you at the exact minute it needs to ￼</x:v>
      </x:c>
      <x:c r="D32" t="str">
        <x:v>bu1-1SixVVE</x:v>
      </x:c>
      <x:c r="E32" t="str">
        <x:v>Divine Kelcie</x:v>
      </x:c>
      <x:c r="F32" t="str">
        <x:v>@divinekelcie</x:v>
      </x:c>
      <x:c r="G32" s="26" t="str">
        <x:f>IF(OR(COUNTIF('Current Subscriptions'!$B$7:$B$83,E32)&gt;0,COUNTIF('Current Subscriptions'!$C$7:$C$83,F32)&gt;0),"Yes","No")</x:f>
        <x:v>No</x:v>
      </x:c>
      <x:c r="H32" s="26" t="str">
        <x:v>13K views</x:v>
      </x:c>
      <x:c r="I32" s="26" t="str">
        <x:v>1 day ago</x:v>
      </x:c>
      <x:c r="J32" s="26" t="str">
        <x:v>10:28</x:v>
      </x:c>
      <x:c r="K32" s="96" t="str">
        <x:v>https://www.youtube.com/watch?v=bu1-1SixVVE&amp;pp=ugUEEgJlbg%3D%3D</x:v>
      </x:c>
      <x:c r="L32" s="96" t="str">
        <x:v>https://www.youtube.com/@divinekelcie</x:v>
      </x:c>
    </x:row>
    <x:row r="33" ht="32" customHeight="1">
      <x:c r="A33" s="26" t="n">
        <x:v>27</x:v>
      </x:c>
      <x:c r="B33" s="26" t="str">
        <x:v>Video</x:v>
      </x:c>
      <x:c r="C33" s="27" t="str">
        <x:v>Coding interviews have become insane</x:v>
      </x:c>
      <x:c r="D33" t="str">
        <x:v>H0KAi8AWsnM</x:v>
      </x:c>
      <x:c r="E33" t="str">
        <x:v>bigboxSWE</x:v>
      </x:c>
      <x:c r="F33" t="str">
        <x:v>@bigboxSWE</x:v>
      </x:c>
      <x:c r="G33" s="26" t="str">
        <x:f>IF(OR(COUNTIF('Current Subscriptions'!$B$7:$B$83,E33)&gt;0,COUNTIF('Current Subscriptions'!$C$7:$C$83,F33)&gt;0),"Yes","No")</x:f>
        <x:v>No</x:v>
      </x:c>
      <x:c r="H33" s="26" t="str">
        <x:v>195K views</x:v>
      </x:c>
      <x:c r="I33" s="26" t="str">
        <x:v>7 days ago</x:v>
      </x:c>
      <x:c r="J33" s="26" t="str">
        <x:v>6:41</x:v>
      </x:c>
      <x:c r="K33" s="96" t="str">
        <x:v>https://www.youtube.com/watch?v=H0KAi8AWsnM&amp;pp=ugUEEgJlbg%3D%3D</x:v>
      </x:c>
      <x:c r="L33" s="96" t="str">
        <x:v>https://www.youtube.com/@bigboxSWE</x:v>
      </x:c>
    </x:row>
    <x:row r="34" ht="32" customHeight="1">
      <x:c r="A34" s="26" t="n">
        <x:v>28</x:v>
      </x:c>
      <x:c r="B34" s="26" t="str">
        <x:v>Video</x:v>
      </x:c>
      <x:c r="C34" s="27" t="str">
        <x:v>How I Get Industrial Robots for so Cheap</x:v>
      </x:c>
      <x:c r="D34" t="str">
        <x:v>w7vHXba9RLo</x:v>
      </x:c>
      <x:c r="E34" t="str">
        <x:v>Excessive Overkill</x:v>
      </x:c>
      <x:c r="F34" t="str">
        <x:v>@ExcessiveOverkill</x:v>
      </x:c>
      <x:c r="G34" s="26" t="str">
        <x:f>IF(OR(COUNTIF('Current Subscriptions'!$B$7:$B$83,E34)&gt;0,COUNTIF('Current Subscriptions'!$C$7:$C$83,F34)&gt;0),"Yes","No")</x:f>
        <x:v>No</x:v>
      </x:c>
      <x:c r="H34" s="26" t="str">
        <x:v>249K views</x:v>
      </x:c>
      <x:c r="I34" s="26" t="str">
        <x:v>2 weeks ago</x:v>
      </x:c>
      <x:c r="J34" s="26" t="str">
        <x:v>47:03</x:v>
      </x:c>
      <x:c r="K34" s="96" t="str">
        <x:v>https://www.youtube.com/watch?v=w7vHXba9RLo</x:v>
      </x:c>
      <x:c r="L34" s="96" t="str">
        <x:v>https://www.youtube.com/@ExcessiveOverkill</x:v>
      </x:c>
    </x:row>
    <x:row r="35" ht="32" customHeight="1">
      <x:c r="A35" s="26" t="n">
        <x:v>29</x:v>
      </x:c>
      <x:c r="B35" s="26" t="str">
        <x:v>Video</x:v>
      </x:c>
      <x:c r="C35" s="27" t="str">
        <x:v>The Psychology of Making Money</x:v>
      </x:c>
      <x:c r="D35" t="str">
        <x:v>cgsWQd5EM1k</x:v>
      </x:c>
      <x:c r="E35" t="str">
        <x:v>Leila Hormozi</x:v>
      </x:c>
      <x:c r="F35" t="str">
        <x:v>@leilahormozi</x:v>
      </x:c>
      <x:c r="G35" s="26" t="str">
        <x:f>IF(OR(COUNTIF('Current Subscriptions'!$B$7:$B$83,E35)&gt;0,COUNTIF('Current Subscriptions'!$C$7:$C$83,F35)&gt;0),"Yes","No")</x:f>
        <x:v>No</x:v>
      </x:c>
      <x:c r="H35" s="26" t="str">
        <x:v>3.7M views</x:v>
      </x:c>
      <x:c r="I35" s="26" t="str">
        <x:v>8 months ago</x:v>
      </x:c>
      <x:c r="J35" s="26" t="str">
        <x:v>18:52</x:v>
      </x:c>
      <x:c r="K35" s="96" t="str">
        <x:v>https://www.youtube.com/watch?v=cgsWQd5EM1k</x:v>
      </x:c>
      <x:c r="L35" s="96" t="str">
        <x:v>https://www.youtube.com/@leilahormozi</x:v>
      </x:c>
    </x:row>
    <x:row r="36" ht="32" customHeight="1">
      <x:c r="A36" s="26" t="n">
        <x:v>30</x:v>
      </x:c>
      <x:c r="B36" s="26" t="str">
        <x:v>Video</x:v>
      </x:c>
      <x:c r="C36" s="27" t="str">
        <x:v>The Psychology of People Who Believe They Already Have What They Want</x:v>
      </x:c>
      <x:c r="D36" t="str">
        <x:v>PsxHgmvwVAM</x:v>
      </x:c>
      <x:c r="E36" t="str">
        <x:v>Wise Quotes</x:v>
      </x:c>
      <x:c r="F36" t="str">
        <x:v>@Wisest-Quotes</x:v>
      </x:c>
      <x:c r="G36" s="26" t="str">
        <x:f>IF(OR(COUNTIF('Current Subscriptions'!$B$7:$B$83,E36)&gt;0,COUNTIF('Current Subscriptions'!$C$7:$C$83,F36)&gt;0),"Yes","No")</x:f>
        <x:v>No</x:v>
      </x:c>
      <x:c r="H36" s="26" t="str">
        <x:v>1.1K views</x:v>
      </x:c>
      <x:c r="I36" s="26" t="str">
        <x:v>5 hours ago</x:v>
      </x:c>
      <x:c r="J36" s="26" t="str">
        <x:v>40:35</x:v>
      </x:c>
      <x:c r="K36" s="96" t="str">
        <x:v>https://www.youtube.com/watch?v=PsxHgmvwVAM&amp;pp=ugUEEgJlbg%3D%3D</x:v>
      </x:c>
      <x:c r="L36" s="96" t="str">
        <x:v>https://www.youtube.com/@Wisest-Quotes</x:v>
      </x:c>
    </x:row>
    <x:row r="37" ht="32" customHeight="1">
      <x:c r="A37" s="26" t="n">
        <x:v>31</x:v>
      </x:c>
      <x:c r="B37" s="26" t="str">
        <x:v>Video</x:v>
      </x:c>
      <x:c r="C37" s="27" t="str">
        <x:v>Continuous Feed Jar For Infinite Pickles</x:v>
      </x:c>
      <x:c r="D37" t="str">
        <x:v>pTOHrYA5Q0g</x:v>
      </x:c>
      <x:c r="E37" t="str">
        <x:v>Cody'sLab</x:v>
      </x:c>
      <x:c r="F37" t="str">
        <x:v>@theCodyReeder</x:v>
      </x:c>
      <x:c r="G37" s="26" t="str">
        <x:f>IF(OR(COUNTIF('Current Subscriptions'!$B$7:$B$83,E37)&gt;0,COUNTIF('Current Subscriptions'!$C$7:$C$83,F37)&gt;0),"Yes","No")</x:f>
        <x:v>No</x:v>
      </x:c>
      <x:c r="H37" s="26" t="str">
        <x:v>751K views</x:v>
      </x:c>
      <x:c r="I37" s="26" t="str">
        <x:v>4 months ago</x:v>
      </x:c>
      <x:c r="J37" s="26" t="str">
        <x:v>35:31</x:v>
      </x:c>
      <x:c r="K37" s="96" t="str">
        <x:v>https://www.youtube.com/watch?v=pTOHrYA5Q0g&amp;pp=ugUEEgJlbg%3D%3D</x:v>
      </x:c>
      <x:c r="L37" s="96" t="str">
        <x:v>https://www.youtube.com/@theCodyReeder</x:v>
      </x:c>
    </x:row>
    <x:row r="38" ht="32" customHeight="1">
      <x:c r="A38" s="26" t="n">
        <x:v>32</x:v>
      </x:c>
      <x:c r="B38" s="26" t="str">
        <x:v>Video</x:v>
      </x:c>
      <x:c r="C38" s="27" t="str">
        <x:v>Let's get things done! 📚 No AI Lofi Pomodoro 50/10</x:v>
      </x:c>
      <x:c r="D38" t="str">
        <x:v>KiUTjX9ox3U</x:v>
      </x:c>
      <x:c r="E38" t="str">
        <x:v>Yellow Cherry Jam</x:v>
      </x:c>
      <x:c r="F38" t="str">
        <x:v>@yellowcherry_jam</x:v>
      </x:c>
      <x:c r="G38" s="26" t="str">
        <x:f>IF(OR(COUNTIF('Current Subscriptions'!$B$7:$B$83,E38)&gt;0,COUNTIF('Current Subscriptions'!$C$7:$C$83,F38)&gt;0),"Yes","No")</x:f>
        <x:v>No</x:v>
      </x:c>
      <x:c r="H38" s="26" t="str">
        <x:v>81K views</x:v>
      </x:c>
      <x:c r="I38" s="26" t="str">
        <x:v>3 months ago</x:v>
      </x:c>
      <x:c r="J38" s="26" t="str">
        <x:v>2:05:08</x:v>
      </x:c>
      <x:c r="K38" s="96" t="str">
        <x:v>https://www.youtube.com/watch?v=KiUTjX9ox3U</x:v>
      </x:c>
      <x:c r="L38" s="96" t="str">
        <x:v>https://www.youtube.com/@yellowcherry_jam</x:v>
      </x:c>
    </x:row>
    <x:row r="39" ht="32" customHeight="1">
      <x:c r="A39" s="26" t="n">
        <x:v>33</x:v>
      </x:c>
      <x:c r="B39" s="26" t="str">
        <x:v>Video</x:v>
      </x:c>
      <x:c r="C39" s="27" t="str">
        <x:v>The Art of Letting Go: Early Buddhist Teachings for Everyday Life</x:v>
      </x:c>
      <x:c r="D39" t="str">
        <x:v>MQYmuoKdsGY</x:v>
      </x:c>
      <x:c r="E39" t="str">
        <x:v>Doug's Dharma</x:v>
      </x:c>
      <x:c r="F39" t="str">
        <x:v>@DougsDharma</x:v>
      </x:c>
      <x:c r="G39" s="26" t="str">
        <x:f>IF(OR(COUNTIF('Current Subscriptions'!$B$7:$B$83,E39)&gt;0,COUNTIF('Current Subscriptions'!$C$7:$C$83,F39)&gt;0),"Yes","No")</x:f>
        <x:v>Yes</x:v>
      </x:c>
      <x:c r="H39" s="26" t="str">
        <x:v>10K views</x:v>
      </x:c>
      <x:c r="I39" s="26" t="str">
        <x:v>1 year ago</x:v>
      </x:c>
      <x:c r="J39" s="26" t="str">
        <x:v>21:06</x:v>
      </x:c>
      <x:c r="K39" s="96" t="str">
        <x:v>https://www.youtube.com/watch?v=MQYmuoKdsGY&amp;pp=ugUHEgVlbi1VU9IHCQkTDAGHKiGM7w%3D%3D</x:v>
      </x:c>
      <x:c r="L39" s="96" t="str">
        <x:v>https://www.youtube.com/@DougsDharma</x:v>
      </x:c>
    </x:row>
    <x:row r="40" ht="32" customHeight="1">
      <x:c r="A40" s="26" t="n">
        <x:v>34</x:v>
      </x:c>
      <x:c r="B40" s="26" t="str">
        <x:v>Video</x:v>
      </x:c>
      <x:c r="C40" s="27" t="str">
        <x:v>The Truth About Turning Your Hobby Into a Job</x:v>
      </x:c>
      <x:c r="D40" t="str">
        <x:v>oMnpatXgMzU</x:v>
      </x:c>
      <x:c r="E40" t="str">
        <x:v>Adam Savage’s Tested</x:v>
      </x:c>
      <x:c r="F40" t="str">
        <x:v>@tested</x:v>
      </x:c>
      <x:c r="G40" s="26" t="str">
        <x:f>IF(OR(COUNTIF('Current Subscriptions'!$B$7:$B$83,E40)&gt;0,COUNTIF('Current Subscriptions'!$C$7:$C$83,F40)&gt;0),"Yes","No")</x:f>
        <x:v>No</x:v>
      </x:c>
      <x:c r="H40" s="26" t="str">
        <x:v>74K views</x:v>
      </x:c>
      <x:c r="I40" s="26" t="str">
        <x:v>3 weeks ago</x:v>
      </x:c>
      <x:c r="J40" s="26" t="str">
        <x:v>15:28</x:v>
      </x:c>
      <x:c r="K40" s="96" t="str">
        <x:v>https://www.youtube.com/watch?v=oMnpatXgMzU</x:v>
      </x:c>
      <x:c r="L40" s="96" t="str">
        <x:v>https://www.youtube.com/@tested</x:v>
      </x:c>
    </x:row>
    <x:row r="41" ht="32" customHeight="1">
      <x:c r="A41" s="26" t="n">
        <x:v>35</x:v>
      </x:c>
      <x:c r="B41" s="26" t="str">
        <x:v>Video</x:v>
      </x:c>
      <x:c r="C41" s="27" t="str">
        <x:v>Can this VLA Work with no Dataset? I Put MolmoAct2 to Test</x:v>
      </x:c>
      <x:c r="D41" t="str">
        <x:v>itGeItWc2rw</x:v>
      </x:c>
      <x:c r="E41" t="str">
        <x:v>Greg's Tech</x:v>
      </x:c>
      <x:c r="F41" t="str">
        <x:v>@gregstech</x:v>
      </x:c>
      <x:c r="G41" s="26" t="str">
        <x:f>IF(OR(COUNTIF('Current Subscriptions'!$B$7:$B$83,E41)&gt;0,COUNTIF('Current Subscriptions'!$C$7:$C$83,F41)&gt;0),"Yes","No")</x:f>
        <x:v>No</x:v>
      </x:c>
      <x:c r="H41" s="26" t="str">
        <x:v>2.2K views</x:v>
      </x:c>
      <x:c r="I41" s="26" t="str">
        <x:v>1 month ago</x:v>
      </x:c>
      <x:c r="J41" s="26" t="str">
        <x:v>18:50</x:v>
      </x:c>
      <x:c r="K41" s="96" t="str">
        <x:v>https://www.youtube.com/watch?v=itGeItWc2rw</x:v>
      </x:c>
      <x:c r="L41" s="96" t="str">
        <x:v>https://www.youtube.com/@gregstech</x:v>
      </x:c>
    </x:row>
    <x:row r="42" ht="32" customHeight="1">
      <x:c r="A42" s="26" t="n">
        <x:v>36</x:v>
      </x:c>
      <x:c r="B42" s="26" t="str">
        <x:v>Video</x:v>
      </x:c>
      <x:c r="C42" s="27" t="str">
        <x:v>Why Being Confident Feels CRINGE AF</x:v>
      </x:c>
      <x:c r="D42" t="str">
        <x:v>kOauN-_W2FQ</x:v>
      </x:c>
      <x:c r="E42" t="str">
        <x:v>JulienHimself</x:v>
      </x:c>
      <x:c r="F42" t="str">
        <x:v>@JulienHimself</x:v>
      </x:c>
      <x:c r="G42" s="26" t="str">
        <x:f>IF(OR(COUNTIF('Current Subscriptions'!$B$7:$B$83,E42)&gt;0,COUNTIF('Current Subscriptions'!$C$7:$C$83,F42)&gt;0),"Yes","No")</x:f>
        <x:v>No</x:v>
      </x:c>
      <x:c r="H42" s="26" t="str">
        <x:v>19K views</x:v>
      </x:c>
      <x:c r="I42" s="26" t="str">
        <x:v>7 days ago</x:v>
      </x:c>
      <x:c r="J42" s="26" t="str">
        <x:v>42:00</x:v>
      </x:c>
      <x:c r="K42" s="96" t="str">
        <x:v>https://www.youtube.com/watch?v=kOauN-_W2FQ&amp;pp=ugUEEgJlbg%3D%3D</x:v>
      </x:c>
      <x:c r="L42" s="96" t="str">
        <x:v>https://www.youtube.com/@JulienHimself</x:v>
      </x:c>
    </x:row>
    <x:row r="43" ht="32" customHeight="1">
      <x:c r="A43" s="26" t="n">
        <x:v>37</x:v>
      </x:c>
      <x:c r="B43" s="26" t="str">
        <x:v>Video</x:v>
      </x:c>
      <x:c r="C43" s="27" t="str">
        <x:v>How to Become an Expert at Programming</x:v>
      </x:c>
      <x:c r="D43" t="str">
        <x:v>06MiFKudGtE</x:v>
      </x:c>
      <x:c r="E43" t="str">
        <x:v>EscPoint</x:v>
      </x:c>
      <x:c r="F43" t="str">
        <x:v>@EscPointDev</x:v>
      </x:c>
      <x:c r="G43" s="26" t="str">
        <x:f>IF(OR(COUNTIF('Current Subscriptions'!$B$7:$B$83,E43)&gt;0,COUNTIF('Current Subscriptions'!$C$7:$C$83,F43)&gt;0),"Yes","No")</x:f>
        <x:v>No</x:v>
      </x:c>
      <x:c r="H43" s="26" t="str">
        <x:v>91K views</x:v>
      </x:c>
      <x:c r="I43" s="26" t="str">
        <x:v>1 month ago</x:v>
      </x:c>
      <x:c r="J43" s="26" t="str">
        <x:v>17:51</x:v>
      </x:c>
      <x:c r="K43" s="96" t="str">
        <x:v>https://www.youtube.com/watch?v=06MiFKudGtE</x:v>
      </x:c>
      <x:c r="L43" s="96" t="str">
        <x:v>https://www.youtube.com/@EscPointDev</x:v>
      </x:c>
    </x:row>
    <x:row r="44" ht="32" customHeight="1">
      <x:c r="A44" s="26" t="n">
        <x:v>38</x:v>
      </x:c>
      <x:c r="B44" s="26" t="str">
        <x:v>Video</x:v>
      </x:c>
      <x:c r="C44" s="27" t="str">
        <x:v>My water heater is cooler than yours</x:v>
      </x:c>
      <x:c r="D44" t="str">
        <x:v>F_7B2shTPPU</x:v>
      </x:c>
      <x:c r="E44" t="str">
        <x:v>Technology Connections</x:v>
      </x:c>
      <x:c r="F44" t="str">
        <x:v>@TechnologyConnections</x:v>
      </x:c>
      <x:c r="G44" s="26" t="str">
        <x:f>IF(OR(COUNTIF('Current Subscriptions'!$B$7:$B$83,E44)&gt;0,COUNTIF('Current Subscriptions'!$C$7:$C$83,F44)&gt;0),"Yes","No")</x:f>
        <x:v>No</x:v>
      </x:c>
      <x:c r="H44" s="26" t="str">
        <x:v>896K views</x:v>
      </x:c>
      <x:c r="I44" s="26" t="str">
        <x:v>5 days ago</x:v>
      </x:c>
      <x:c r="J44" s="26" t="str">
        <x:v>58:45</x:v>
      </x:c>
      <x:c r="K44" s="96" t="str">
        <x:v>https://www.youtube.com/watch?v=F_7B2shTPPU</x:v>
      </x:c>
      <x:c r="L44" s="96" t="str">
        <x:v>https://www.youtube.com/@TechnologyConnections</x:v>
      </x:c>
    </x:row>
    <x:row r="45" ht="32" customHeight="1">
      <x:c r="A45" s="26" t="n">
        <x:v>39</x:v>
      </x:c>
      <x:c r="B45" s="26" t="str">
        <x:v>Video</x:v>
      </x:c>
      <x:c r="C45" s="27" t="str">
        <x:v>The Greatest Rebrand in History: Addison Rae</x:v>
      </x:c>
      <x:c r="D45" t="str">
        <x:v>oUVWcnwveJw</x:v>
      </x:c>
      <x:c r="E45" t="str">
        <x:v>Nicky Reardon</x:v>
      </x:c>
      <x:c r="F45" t="str">
        <x:v>@nicky.reardon</x:v>
      </x:c>
      <x:c r="G45" s="26" t="str">
        <x:f>IF(OR(COUNTIF('Current Subscriptions'!$B$7:$B$83,E45)&gt;0,COUNTIF('Current Subscriptions'!$C$7:$C$83,F45)&gt;0),"Yes","No")</x:f>
        <x:v>No</x:v>
      </x:c>
      <x:c r="H45" s="26" t="str">
        <x:v>312K views</x:v>
      </x:c>
      <x:c r="I45" s="26" t="str">
        <x:v>1 year ago</x:v>
      </x:c>
      <x:c r="J45" s="26" t="str">
        <x:v>39:32</x:v>
      </x:c>
      <x:c r="K45" s="96" t="str">
        <x:v>https://www.youtube.com/watch?v=oUVWcnwveJw&amp;pp=0gcJCRMMAYcqIYzv</x:v>
      </x:c>
      <x:c r="L45" s="96" t="str">
        <x:v>https://www.youtube.com/@nicky.reardon</x:v>
      </x:c>
    </x:row>
    <x:row r="46" ht="32" customHeight="1">
      <x:c r="A46" s="26" t="n">
        <x:v>40</x:v>
      </x:c>
      <x:c r="B46" s="26" t="str">
        <x:v>Video</x:v>
      </x:c>
      <x:c r="C46" s="27" t="str">
        <x:v>Tottomori ~ Callenwood Wavefinder [Full album]</x:v>
      </x:c>
      <x:c r="D46" t="str">
        <x:v>Bpm8tf-YL3k</x:v>
      </x:c>
      <x:c r="E46" t="str">
        <x:v>Tottomori</x:v>
      </x:c>
      <x:c r="F46" t="str">
        <x:v>@tottomori</x:v>
      </x:c>
      <x:c r="G46" s="26" t="str">
        <x:f>IF(OR(COUNTIF('Current Subscriptions'!$B$7:$B$83,E46)&gt;0,COUNTIF('Current Subscriptions'!$C$7:$C$83,F46)&gt;0),"Yes","No")</x:f>
        <x:v>No</x:v>
      </x:c>
      <x:c r="H46" s="26" t="str">
        <x:v>73K views</x:v>
      </x:c>
      <x:c r="I46" s="26" t="str">
        <x:v>3 months ago</x:v>
      </x:c>
      <x:c r="J46" s="26" t="str">
        <x:v>39:14</x:v>
      </x:c>
      <x:c r="K46" s="96" t="str">
        <x:v>https://www.youtube.com/watch?v=Bpm8tf-YL3k</x:v>
      </x:c>
      <x:c r="L46" s="96" t="str">
        <x:v>https://www.youtube.com/@tottomori</x:v>
      </x:c>
    </x:row>
    <x:row r="47" ht="32" customHeight="1">
      <x:c r="A47" s="26" t="n">
        <x:v>41</x:v>
      </x:c>
      <x:c r="B47" s="26" t="str">
        <x:v>Video</x:v>
      </x:c>
      <x:c r="C47" s="27" t="str">
        <x:v>Having Kids Vs Child Free: What's the Right Choice?</x:v>
      </x:c>
      <x:c r="D47" t="str">
        <x:v>A3nfS_1am4Y</x:v>
      </x:c>
      <x:c r="E47" t="str">
        <x:v>Philosophy Tube</x:v>
      </x:c>
      <x:c r="F47" t="str">
        <x:v>@PhilosophyTube</x:v>
      </x:c>
      <x:c r="G47" s="26" t="str">
        <x:f>IF(OR(COUNTIF('Current Subscriptions'!$B$7:$B$83,E47)&gt;0,COUNTIF('Current Subscriptions'!$C$7:$C$83,F47)&gt;0),"Yes","No")</x:f>
        <x:v>No</x:v>
      </x:c>
      <x:c r="H47" s="26" t="str">
        <x:v>389K views</x:v>
      </x:c>
      <x:c r="I47" s="26" t="str">
        <x:v>8 months ago</x:v>
      </x:c>
      <x:c r="J47" s="26" t="str">
        <x:v>49:46</x:v>
      </x:c>
      <x:c r="K47" s="96" t="str">
        <x:v>https://www.youtube.com/watch?v=A3nfS_1am4Y</x:v>
      </x:c>
      <x:c r="L47" s="96" t="str">
        <x:v>https://www.youtube.com/@PhilosophyTube</x:v>
      </x:c>
    </x:row>
    <x:row r="48" ht="32" customHeight="1">
      <x:c r="A48" s="26" t="n">
        <x:v>42</x:v>
      </x:c>
      <x:c r="B48" s="26" t="str">
        <x:v>Video</x:v>
      </x:c>
      <x:c r="C48" s="27" t="str">
        <x:v>“I’M TERRIFIED OF POPCORN” - Therapy Gecko</x:v>
      </x:c>
      <x:c r="D48" t="str">
        <x:v>eemjosdmE-I</x:v>
      </x:c>
      <x:c r="E48" t="str">
        <x:v>Geck</x:v>
      </x:c>
      <x:c r="F48" t="str">
        <x:v>@lyleforever</x:v>
      </x:c>
      <x:c r="G48" s="26" t="str">
        <x:f>IF(OR(COUNTIF('Current Subscriptions'!$B$7:$B$83,E48)&gt;0,COUNTIF('Current Subscriptions'!$C$7:$C$83,F48)&gt;0),"Yes","No")</x:f>
        <x:v>No</x:v>
      </x:c>
      <x:c r="H48" s="26" t="str">
        <x:v>6.6K views</x:v>
      </x:c>
      <x:c r="I48" s="26" t="str">
        <x:v>3 days ago</x:v>
      </x:c>
      <x:c r="J48" s="26" t="str">
        <x:v>1:00:13</x:v>
      </x:c>
      <x:c r="K48" s="96" t="str">
        <x:v>https://www.youtube.com/watch?v=eemjosdmE-I&amp;pp=ugUEEgJlbg%3D%3D</x:v>
      </x:c>
      <x:c r="L48" s="96" t="str">
        <x:v>https://www.youtube.com/@lyleforever</x:v>
      </x:c>
    </x:row>
    <x:row r="49" ht="32" customHeight="1">
      <x:c r="A49" s="26" t="n">
        <x:v>43</x:v>
      </x:c>
      <x:c r="B49" s="26" t="str">
        <x:v>Video</x:v>
      </x:c>
      <x:c r="C49" s="27" t="str">
        <x:v>Learn french with Memes (slow french comprehensible input #89)</x:v>
      </x:c>
      <x:c r="D49" t="str">
        <x:v>K1JwyKoEy44</x:v>
      </x:c>
      <x:c r="E49" t="str">
        <x:v>French with Felix</x:v>
      </x:c>
      <x:c r="F49" t="str">
        <x:v>@frenchwithfelix</x:v>
      </x:c>
      <x:c r="G49" s="26" t="str">
        <x:f>IF(OR(COUNTIF('Current Subscriptions'!$B$7:$B$83,E49)&gt;0,COUNTIF('Current Subscriptions'!$C$7:$C$83,F49)&gt;0),"Yes","No")</x:f>
        <x:v>No</x:v>
      </x:c>
      <x:c r="H49" s="26" t="str">
        <x:v>1.3K views</x:v>
      </x:c>
      <x:c r="I49" s="26" t="str">
        <x:v>1 day ago</x:v>
      </x:c>
      <x:c r="J49" s="26" t="str">
        <x:v>24:27</x:v>
      </x:c>
      <x:c r="K49" s="96" t="str">
        <x:v>https://www.youtube.com/watch?v=K1JwyKoEy44</x:v>
      </x:c>
      <x:c r="L49" s="96" t="str">
        <x:v>https://www.youtube.com/@frenchwithfelix</x:v>
      </x:c>
    </x:row>
    <x:row r="50" ht="32" customHeight="1">
      <x:c r="A50" s="26" t="n">
        <x:v>44</x:v>
      </x:c>
      <x:c r="B50" s="26" t="str">
        <x:v>Video</x:v>
      </x:c>
      <x:c r="C50" s="27" t="str">
        <x:v>Mitchell Hashimoto’s new way of writing code</x:v>
      </x:c>
      <x:c r="D50" t="str">
        <x:v>WjckELpzLOU</x:v>
      </x:c>
      <x:c r="E50" t="str">
        <x:v>The Pragmatic Engineer</x:v>
      </x:c>
      <x:c r="F50" t="str">
        <x:v>@pragmaticengineer</x:v>
      </x:c>
      <x:c r="G50" s="26" t="str">
        <x:f>IF(OR(COUNTIF('Current Subscriptions'!$B$7:$B$83,E50)&gt;0,COUNTIF('Current Subscriptions'!$C$7:$C$83,F50)&gt;0),"Yes","No")</x:f>
        <x:v>No</x:v>
      </x:c>
      <x:c r="H50" s="26" t="str">
        <x:v>327K views</x:v>
      </x:c>
      <x:c r="I50" s="26" t="str">
        <x:v>6 months ago</x:v>
      </x:c>
      <x:c r="J50" s="26" t="str">
        <x:v>1:58:24</x:v>
      </x:c>
      <x:c r="K50" s="96" t="str">
        <x:v>https://www.youtube.com/watch?v=WjckELpzLOU</x:v>
      </x:c>
      <x:c r="L50" s="96" t="str">
        <x:v>https://www.youtube.com/@pragmaticengineer</x:v>
      </x:c>
    </x:row>
    <x:row r="51" ht="32" customHeight="1">
      <x:c r="A51" s="26" t="n">
        <x:v>45</x:v>
      </x:c>
      <x:c r="B51" s="26" t="str">
        <x:v>Video</x:v>
      </x:c>
      <x:c r="C51" s="27" t="str">
        <x:v>Let's Help This 83-Year-Old for FREE!</x:v>
      </x:c>
      <x:c r="D51" t="str">
        <x:v>7VnPwhXid8Y</x:v>
      </x:c>
      <x:c r="E51" t="str">
        <x:v>Midwest Magic Cleaning</x:v>
      </x:c>
      <x:c r="F51" t="str">
        <x:v>@MidwestMagicCleaning</x:v>
      </x:c>
      <x:c r="G51" s="26" t="str">
        <x:f>IF(OR(COUNTIF('Current Subscriptions'!$B$7:$B$83,E51)&gt;0,COUNTIF('Current Subscriptions'!$C$7:$C$83,F51)&gt;0),"Yes","No")</x:f>
        <x:v>No</x:v>
      </x:c>
      <x:c r="H51" s="26" t="str">
        <x:v>76K views</x:v>
      </x:c>
      <x:c r="I51" s="26" t="str">
        <x:v>3 days ago</x:v>
      </x:c>
      <x:c r="J51" s="26" t="str">
        <x:v>18:34</x:v>
      </x:c>
      <x:c r="K51" s="96" t="str">
        <x:v>https://www.youtube.com/watch?v=7VnPwhXid8Y&amp;pp=ugUHEgVlbi1VUw%3D%3D</x:v>
      </x:c>
      <x:c r="L51" s="96" t="str">
        <x:v>https://www.youtube.com/@MidwestMagicCleaning</x:v>
      </x:c>
    </x:row>
    <x:row r="52" ht="32" customHeight="1">
      <x:c r="A52" s="26" t="n">
        <x:v>46</x:v>
      </x:c>
      <x:c r="B52" s="26" t="str">
        <x:v>Video</x:v>
      </x:c>
      <x:c r="C52" s="27" t="str">
        <x:v>The Power of Font In Video Games</x:v>
      </x:c>
      <x:c r="D52" t="str">
        <x:v>KIvLywqLCW0</x:v>
      </x:c>
      <x:c r="E52" t="str">
        <x:v>Juniper Dev</x:v>
      </x:c>
      <x:c r="F52" t="str">
        <x:v>@JuniperDev</x:v>
      </x:c>
      <x:c r="G52" s="26" t="str">
        <x:f>IF(OR(COUNTIF('Current Subscriptions'!$B$7:$B$83,E52)&gt;0,COUNTIF('Current Subscriptions'!$C$7:$C$83,F52)&gt;0),"Yes","No")</x:f>
        <x:v>No</x:v>
      </x:c>
      <x:c r="H52" s="26" t="str">
        <x:v>801K views</x:v>
      </x:c>
      <x:c r="I52" s="26" t="str">
        <x:v>1 year ago</x:v>
      </x:c>
      <x:c r="J52" s="26" t="str">
        <x:v>15:09</x:v>
      </x:c>
      <x:c r="K52" s="96" t="str">
        <x:v>https://www.youtube.com/watch?v=KIvLywqLCW0</x:v>
      </x:c>
      <x:c r="L52" s="96" t="str">
        <x:v>https://www.youtube.com/@JuniperDev</x:v>
      </x:c>
    </x:row>
    <x:row r="53" ht="32" customHeight="1">
      <x:c r="A53" s="26" t="n">
        <x:v>47</x:v>
      </x:c>
      <x:c r="B53" s="26" t="str">
        <x:v>Video</x:v>
      </x:c>
      <x:c r="C53" s="27" t="str">
        <x:v>No Money? Here’s How You Escape the Permanent Underclass</x:v>
      </x:c>
      <x:c r="D53" t="str">
        <x:v>BwiGjoeZ66k</x:v>
      </x:c>
      <x:c r="E53" t="str">
        <x:v>Asian Dad Energy</x:v>
      </x:c>
      <x:c r="F53" t="str">
        <x:v>@AsianDadEnergy</x:v>
      </x:c>
      <x:c r="G53" s="26" t="str">
        <x:f>IF(OR(COUNTIF('Current Subscriptions'!$B$7:$B$83,E53)&gt;0,COUNTIF('Current Subscriptions'!$C$7:$C$83,F53)&gt;0),"Yes","No")</x:f>
        <x:v>No</x:v>
      </x:c>
      <x:c r="H53" s="26" t="str">
        <x:v>134K views</x:v>
      </x:c>
      <x:c r="I53" s="26" t="str">
        <x:v>3 weeks ago</x:v>
      </x:c>
      <x:c r="J53" s="26" t="str">
        <x:v>11:32</x:v>
      </x:c>
      <x:c r="K53" s="96" t="str">
        <x:v>https://www.youtube.com/watch?v=BwiGjoeZ66k&amp;pp=ugUEEgJlbtIHCQkTDAGHKiGM7w%3D%3D</x:v>
      </x:c>
      <x:c r="L53" s="96" t="str">
        <x:v>https://www.youtube.com/@AsianDadEnergy</x:v>
      </x:c>
    </x:row>
    <x:row r="54" ht="32" customHeight="1">
      <x:c r="A54" s="26" t="n">
        <x:v>48</x:v>
      </x:c>
      <x:c r="B54" s="26" t="str">
        <x:v>Video</x:v>
      </x:c>
      <x:c r="C54" s="27" t="str">
        <x:v>im sorry</x:v>
      </x:c>
      <x:c r="D54" t="str">
        <x:v>KhWwuQ7qf5A</x:v>
      </x:c>
      <x:c r="E54" t="str">
        <x:v>Angela Collier</x:v>
      </x:c>
      <x:c r="F54" t="str">
        <x:v>@acollierastro</x:v>
      </x:c>
      <x:c r="G54" s="26" t="str">
        <x:f>IF(OR(COUNTIF('Current Subscriptions'!$B$7:$B$83,E54)&gt;0,COUNTIF('Current Subscriptions'!$C$7:$C$83,F54)&gt;0),"Yes","No")</x:f>
        <x:v>No</x:v>
      </x:c>
      <x:c r="H54" s="26" t="str">
        <x:v>376K views</x:v>
      </x:c>
      <x:c r="I54" s="26" t="str">
        <x:v>1 month ago</x:v>
      </x:c>
      <x:c r="J54" s="26" t="str">
        <x:v>20:44</x:v>
      </x:c>
      <x:c r="K54" s="96" t="str">
        <x:v>https://www.youtube.com/watch?v=KhWwuQ7qf5A</x:v>
      </x:c>
      <x:c r="L54" s="96" t="str">
        <x:v>https://www.youtube.com/@acollierastro</x:v>
      </x:c>
    </x:row>
    <x:row r="55" ht="32" customHeight="1">
      <x:c r="A55" s="26" t="n">
        <x:v>49</x:v>
      </x:c>
      <x:c r="B55" s="26" t="str">
        <x:v>Video</x:v>
      </x:c>
      <x:c r="C55" s="27" t="str">
        <x:v>My life experience having a low average IQ score.</x:v>
      </x:c>
      <x:c r="D55" t="str">
        <x:v>F6AIOqiqXqo</x:v>
      </x:c>
      <x:c r="E55" t="str">
        <x:v>MaderVideosProductions.</x:v>
      </x:c>
      <x:c r="F55" t="str">
        <x:v>@madervideosproductions.2525</x:v>
      </x:c>
      <x:c r="G55" s="26" t="str">
        <x:f>IF(OR(COUNTIF('Current Subscriptions'!$B$7:$B$83,E55)&gt;0,COUNTIF('Current Subscriptions'!$C$7:$C$83,F55)&gt;0),"Yes","No")</x:f>
        <x:v>No</x:v>
      </x:c>
      <x:c r="H55" s="26" t="str">
        <x:v>8.4K views</x:v>
      </x:c>
      <x:c r="I55" s="26" t="str">
        <x:v>7 months ago</x:v>
      </x:c>
      <x:c r="J55" s="26" t="str">
        <x:v>22:44</x:v>
      </x:c>
      <x:c r="K55" s="96" t="str">
        <x:v>https://www.youtube.com/watch?v=F6AIOqiqXqo</x:v>
      </x:c>
      <x:c r="L55" s="96" t="str">
        <x:v>https://www.youtube.com/@madervideosproductions.2525</x:v>
      </x:c>
    </x:row>
    <x:row r="56" ht="32" customHeight="1">
      <x:c r="A56" s="26" t="n">
        <x:v>50</x:v>
      </x:c>
      <x:c r="B56" s="26" t="str">
        <x:v>Video</x:v>
      </x:c>
      <x:c r="C56" s="27" t="str">
        <x:v>LIKA - Morning living room mix // Coffee, day drinking, summer party // Deep House, Progressive</x:v>
      </x:c>
      <x:c r="D56" t="str">
        <x:v>RNiZy6t-XnA</x:v>
      </x:c>
      <x:c r="E56" t="str">
        <x:v>LIKA</x:v>
      </x:c>
      <x:c r="F56" t="str">
        <x:v>@likainmusic</x:v>
      </x:c>
      <x:c r="G56" s="26" t="str">
        <x:f>IF(OR(COUNTIF('Current Subscriptions'!$B$7:$B$83,E56)&gt;0,COUNTIF('Current Subscriptions'!$C$7:$C$83,F56)&gt;0),"Yes","No")</x:f>
        <x:v>No</x:v>
      </x:c>
      <x:c r="H56" s="26" t="str">
        <x:v>2.5M views</x:v>
      </x:c>
      <x:c r="I56" s="26" t="str">
        <x:v>1 year ago</x:v>
      </x:c>
      <x:c r="J56" s="26" t="str">
        <x:v>1:45:43</x:v>
      </x:c>
      <x:c r="K56" s="96" t="str">
        <x:v>https://www.youtube.com/watch?v=RNiZy6t-XnA</x:v>
      </x:c>
      <x:c r="L56" s="96" t="str">
        <x:v>https://www.youtube.com/@likainmusic</x:v>
      </x:c>
    </x:row>
    <x:row r="57" ht="32" customHeight="1">
      <x:c r="A57" s="26" t="n">
        <x:v>51</x:v>
      </x:c>
      <x:c r="B57" s="26" t="str">
        <x:v>Video</x:v>
      </x:c>
      <x:c r="C57" s="27" t="str">
        <x:v>Are you actually going crazy, or is it just intrusive thoughts?</x:v>
      </x:c>
      <x:c r="D57" t="str">
        <x:v>QEnOYoKQ2rQ</x:v>
      </x:c>
      <x:c r="E57" t="str">
        <x:v>I Am Rey (Mental Health)</x:v>
      </x:c>
      <x:c r="F57" t="str">
        <x:v>@Monkeyy_Buddha</x:v>
      </x:c>
      <x:c r="G57" s="26" t="str">
        <x:f>IF(OR(COUNTIF('Current Subscriptions'!$B$7:$B$83,E57)&gt;0,COUNTIF('Current Subscriptions'!$C$7:$C$83,F57)&gt;0),"Yes","No")</x:f>
        <x:v>No</x:v>
      </x:c>
      <x:c r="H57" s="26" t="str">
        <x:v>2.3K views</x:v>
      </x:c>
      <x:c r="I57" s="26" t="str">
        <x:v>2 days ago</x:v>
      </x:c>
      <x:c r="J57" s="26" t="str">
        <x:v>25:38</x:v>
      </x:c>
      <x:c r="K57" s="96" t="str">
        <x:v>https://www.youtube.com/watch?v=QEnOYoKQ2rQ</x:v>
      </x:c>
      <x:c r="L57" s="96" t="str">
        <x:v>https://www.youtube.com/@Monkeyy_Buddha</x:v>
      </x:c>
    </x:row>
    <x:row r="58" ht="32" customHeight="1">
      <x:c r="A58" s="26" t="n">
        <x:v>52</x:v>
      </x:c>
      <x:c r="B58" s="26" t="str">
        <x:v>Video</x:v>
      </x:c>
      <x:c r="C58" s="27" t="str">
        <x:v>10 TYPES OF TRANSISTOR ASSAY FOR GOLD RECOVERY | ASSAY TRANSISTOR SAMPLE FOR GOLD AT HOME</x:v>
      </x:c>
      <x:c r="D58" t="str">
        <x:v>6GiaqeDkAts</x:v>
      </x:c>
      <x:c r="E58" t="str">
        <x:v>Poor miners</x:v>
      </x:c>
      <x:c r="F58" t="str">
        <x:v>@PoorMiners321</x:v>
      </x:c>
      <x:c r="G58" s="26" t="str">
        <x:f>IF(OR(COUNTIF('Current Subscriptions'!$B$7:$B$83,E58)&gt;0,COUNTIF('Current Subscriptions'!$C$7:$C$83,F58)&gt;0),"Yes","No")</x:f>
        <x:v>No</x:v>
      </x:c>
      <x:c r="H58" s="26" t="str">
        <x:v>51K views</x:v>
      </x:c>
      <x:c r="I58" s="26" t="str">
        <x:v>1 year ago</x:v>
      </x:c>
      <x:c r="J58" s="26" t="str">
        <x:v>33:15</x:v>
      </x:c>
      <x:c r="K58" s="96" t="str">
        <x:v>https://www.youtube.com/watch?v=6GiaqeDkAts</x:v>
      </x:c>
      <x:c r="L58" s="96" t="str">
        <x:v>https://www.youtube.com/@PoorMiners321</x:v>
      </x:c>
    </x:row>
    <x:row r="59" ht="32" customHeight="1">
      <x:c r="A59" s="26" t="n">
        <x:v>53</x:v>
      </x:c>
      <x:c r="B59" s="26" t="str">
        <x:v>Video</x:v>
      </x:c>
      <x:c r="C59" s="27" t="str">
        <x:v>I Finally Got an Old Thinkpad.. I Get It Now.</x:v>
      </x:c>
      <x:c r="D59" t="str">
        <x:v>hKO3Lt-hrvY</x:v>
      </x:c>
      <x:c r="E59" t="str">
        <x:v>Zei</x:v>
      </x:c>
      <x:c r="F59" t="str">
        <x:v>@Zeibytes</x:v>
      </x:c>
      <x:c r="G59" s="26" t="str">
        <x:f>IF(OR(COUNTIF('Current Subscriptions'!$B$7:$B$83,E59)&gt;0,COUNTIF('Current Subscriptions'!$C$7:$C$83,F59)&gt;0),"Yes","No")</x:f>
        <x:v>No</x:v>
      </x:c>
      <x:c r="H59" s="26" t="str">
        <x:v>114K views</x:v>
      </x:c>
      <x:c r="I59" s="26" t="str">
        <x:v>3 weeks ago</x:v>
      </x:c>
      <x:c r="J59" s="26" t="str">
        <x:v>14:08</x:v>
      </x:c>
      <x:c r="K59" s="96" t="str">
        <x:v>https://www.youtube.com/watch?v=hKO3Lt-hrvY&amp;pp=ugUEEgJlbtIHCQkTDAGHKiGM7w%3D%3D</x:v>
      </x:c>
      <x:c r="L59" s="96" t="str">
        <x:v>https://www.youtube.com/@Zeibytes</x:v>
      </x:c>
    </x:row>
    <x:row r="60" ht="32" customHeight="1">
      <x:c r="A60" s="26" t="n">
        <x:v>54</x:v>
      </x:c>
      <x:c r="B60" s="26" t="str">
        <x:v>Video</x:v>
      </x:c>
      <x:c r="C60" s="27" t="str">
        <x:v>Starting a Small Business, Part I: What Successful Entrepreneurs Have That Others Don't</x:v>
      </x:c>
      <x:c r="D60" t="str">
        <x:v>gTyRQert4JY</x:v>
      </x:c>
      <x:c r="E60" t="str">
        <x:v>Cliff Ennico</x:v>
      </x:c>
      <x:c r="F60" t="str">
        <x:v>@cliffennico5793</x:v>
      </x:c>
      <x:c r="G60" s="26" t="str">
        <x:f>IF(OR(COUNTIF('Current Subscriptions'!$B$7:$B$83,E60)&gt;0,COUNTIF('Current Subscriptions'!$C$7:$C$83,F60)&gt;0),"Yes","No")</x:f>
        <x:v>No</x:v>
      </x:c>
      <x:c r="H60" s="26" t="str">
        <x:v>480K views</x:v>
      </x:c>
      <x:c r="I60" s="26" t="str">
        <x:v>11 years ago</x:v>
      </x:c>
      <x:c r="J60" s="26" t="str">
        <x:v>56:13</x:v>
      </x:c>
      <x:c r="K60" s="96" t="str">
        <x:v>https://www.youtube.com/watch?v=gTyRQert4JY</x:v>
      </x:c>
      <x:c r="L60" s="96" t="str">
        <x:v>https://www.youtube.com/@cliffennico5793</x:v>
      </x:c>
    </x:row>
    <x:row r="61" ht="32" customHeight="1">
      <x:c r="A61" s="26" t="n">
        <x:v>55</x:v>
      </x:c>
      <x:c r="B61" s="26" t="str">
        <x:v>Video</x:v>
      </x:c>
      <x:c r="C61" s="27" t="str">
        <x:v>From B Student to MIT: My Way to Engineering - Welcome to my Home Lab</x:v>
      </x:c>
      <x:c r="D61" t="str">
        <x:v>6ICGZ8RwNYQ</x:v>
      </x:c>
      <x:c r="E61" t="str">
        <x:v>ApprenticeDiary</x:v>
      </x:c>
      <x:c r="F61" t="str">
        <x:v>@ApprenticeDiary</x:v>
      </x:c>
      <x:c r="G61" s="26" t="str">
        <x:f>IF(OR(COUNTIF('Current Subscriptions'!$B$7:$B$83,E61)&gt;0,COUNTIF('Current Subscriptions'!$C$7:$C$83,F61)&gt;0),"Yes","No")</x:f>
        <x:v>No</x:v>
      </x:c>
      <x:c r="H61" s="26" t="str">
        <x:v>179K views</x:v>
      </x:c>
      <x:c r="I61" s="26" t="str">
        <x:v>4 weeks ago</x:v>
      </x:c>
      <x:c r="J61" s="26" t="str">
        <x:v>9:03</x:v>
      </x:c>
      <x:c r="K61" s="96" t="str">
        <x:v>https://www.youtube.com/watch?v=6ICGZ8RwNYQ&amp;pp=ugUHEgVlbi1VUw%3D%3D</x:v>
      </x:c>
      <x:c r="L61" s="96" t="str">
        <x:v>https://www.youtube.com/@ApprenticeDiary</x:v>
      </x:c>
    </x:row>
    <x:row r="62" ht="32" customHeight="1">
      <x:c r="A62" s="26" t="n">
        <x:v>56</x:v>
      </x:c>
      <x:c r="B62" s="26" t="str">
        <x:v>Video</x:v>
      </x:c>
      <x:c r="C62" s="27" t="str">
        <x:v>the true reason C++ always wins</x:v>
      </x:c>
      <x:c r="D62" t="str">
        <x:v>I7fEsbksKRE</x:v>
      </x:c>
      <x:c r="E62" t="str">
        <x:v>LaurieWired</x:v>
      </x:c>
      <x:c r="F62" t="str">
        <x:v>@lauriewired</x:v>
      </x:c>
      <x:c r="G62" s="26" t="str">
        <x:f>IF(OR(COUNTIF('Current Subscriptions'!$B$7:$B$83,E62)&gt;0,COUNTIF('Current Subscriptions'!$C$7:$C$83,F62)&gt;0),"Yes","No")</x:f>
        <x:v>No</x:v>
      </x:c>
      <x:c r="H62" s="26" t="str">
        <x:v>904K views</x:v>
      </x:c>
      <x:c r="I62" s="26" t="str">
        <x:v>3 months ago</x:v>
      </x:c>
      <x:c r="J62" s="26" t="str">
        <x:v>14:02</x:v>
      </x:c>
      <x:c r="K62" s="96" t="str">
        <x:v>https://www.youtube.com/watch?v=I7fEsbksKRE</x:v>
      </x:c>
      <x:c r="L62" s="96" t="str">
        <x:v>https://www.youtube.com/@lauriewired</x:v>
      </x:c>
    </x:row>
    <x:row r="63" ht="32" customHeight="1">
      <x:c r="A63" s="26" t="n">
        <x:v>57</x:v>
      </x:c>
      <x:c r="B63" s="26" t="str">
        <x:v>Video</x:v>
      </x:c>
      <x:c r="C63" s="27" t="str">
        <x:v>Scientists Find Evidence That Life on Earth Had Two Separate Origins</x:v>
      </x:c>
      <x:c r="D63" t="str">
        <x:v>zFk-8_0dXYo</x:v>
      </x:c>
      <x:c r="E63" t="str">
        <x:v>Anton Petrov</x:v>
      </x:c>
      <x:c r="F63" t="str">
        <x:v>@whatdamath</x:v>
      </x:c>
      <x:c r="G63" s="26" t="str">
        <x:f>IF(OR(COUNTIF('Current Subscriptions'!$B$7:$B$83,E63)&gt;0,COUNTIF('Current Subscriptions'!$C$7:$C$83,F63)&gt;0),"Yes","No")</x:f>
        <x:v>No</x:v>
      </x:c>
      <x:c r="H63" s="26" t="str">
        <x:v>277K views</x:v>
      </x:c>
      <x:c r="I63" s="26" t="str">
        <x:v>3 days ago</x:v>
      </x:c>
      <x:c r="J63" s="26" t="str">
        <x:v>17:49</x:v>
      </x:c>
      <x:c r="K63" s="96" t="str">
        <x:v>https://www.youtube.com/watch?v=zFk-8_0dXYo</x:v>
      </x:c>
      <x:c r="L63" s="96" t="str">
        <x:v>https://www.youtube.com/@whatdamath</x:v>
      </x:c>
    </x:row>
    <x:row r="64" ht="32" customHeight="1">
      <x:c r="A64" s="26" t="n">
        <x:v>58</x:v>
      </x:c>
      <x:c r="B64" s="26" t="str">
        <x:v>Video</x:v>
      </x:c>
      <x:c r="C64" s="27" t="str">
        <x:v>Quantum Computing Failure Now Obvious</x:v>
      </x:c>
      <x:c r="D64" t="str">
        <x:v>DX_oIQ-tA6M</x:v>
      </x:c>
      <x:c r="E64" t="str">
        <x:v>Sabine Hossenfelder</x:v>
      </x:c>
      <x:c r="F64" t="str">
        <x:v>@SabineHossenfelder</x:v>
      </x:c>
      <x:c r="G64" s="26" t="str">
        <x:f>IF(OR(COUNTIF('Current Subscriptions'!$B$7:$B$83,E64)&gt;0,COUNTIF('Current Subscriptions'!$C$7:$C$83,F64)&gt;0),"Yes","No")</x:f>
        <x:v>No</x:v>
      </x:c>
      <x:c r="H64" s="26" t="str">
        <x:v>356K views</x:v>
      </x:c>
      <x:c r="I64" s="26" t="str">
        <x:v>1 day ago</x:v>
      </x:c>
      <x:c r="J64" s="26" t="str">
        <x:v>6:48</x:v>
      </x:c>
      <x:c r="K64" s="96" t="str">
        <x:v>https://www.youtube.com/watch?v=DX_oIQ-tA6M</x:v>
      </x:c>
      <x:c r="L64" s="96" t="str">
        <x:v>https://www.youtube.com/@SabineHossenfelder</x:v>
      </x:c>
    </x:row>
    <x:row r="65" ht="32" customHeight="1">
      <x:c r="A65" s="26" t="n">
        <x:v>59</x:v>
      </x:c>
      <x:c r="B65" s="26" t="str">
        <x:v>Video</x:v>
      </x:c>
      <x:c r="C65" s="27" t="str">
        <x:v>COMPLETE EMBEDDED SYSTEMS Roadmap - What Arduino Won't Teach You</x:v>
      </x:c>
      <x:c r="D65" t="str">
        <x:v>Dzn0woX-WW0</x:v>
      </x:c>
      <x:c r="E65" t="str">
        <x:v>hoff._world</x:v>
      </x:c>
      <x:c r="F65" t="str">
        <x:v>@hoff._world</x:v>
      </x:c>
      <x:c r="G65" s="26" t="str">
        <x:f>IF(OR(COUNTIF('Current Subscriptions'!$B$7:$B$83,E65)&gt;0,COUNTIF('Current Subscriptions'!$C$7:$C$83,F65)&gt;0),"Yes","No")</x:f>
        <x:v>No</x:v>
      </x:c>
      <x:c r="H65" s="26" t="str">
        <x:v>213K views</x:v>
      </x:c>
      <x:c r="I65" s="26" t="str">
        <x:v>8 months ago</x:v>
      </x:c>
      <x:c r="J65" s="26" t="str">
        <x:v>39:58</x:v>
      </x:c>
      <x:c r="K65" s="96" t="str">
        <x:v>https://www.youtube.com/watch?v=Dzn0woX-WW0</x:v>
      </x:c>
      <x:c r="L65" s="96" t="str">
        <x:v>https://www.youtube.com/@hoff._world</x:v>
      </x:c>
    </x:row>
    <x:row r="66" ht="32" customHeight="1">
      <x:c r="A66" s="26" t="n">
        <x:v>60</x:v>
      </x:c>
      <x:c r="B66" s="26" t="str">
        <x:v>Video</x:v>
      </x:c>
      <x:c r="C66" s="27" t="str">
        <x:v>How to live longer and make it suck less</x:v>
      </x:c>
      <x:c r="D66" t="str">
        <x:v>iOCEoulzBEQ</x:v>
      </x:c>
      <x:c r="E66" t="str">
        <x:v>Simple Lucas</x:v>
      </x:c>
      <x:c r="F66" t="str">
        <x:v>@simplelucas</x:v>
      </x:c>
      <x:c r="G66" s="26" t="str">
        <x:f>IF(OR(COUNTIF('Current Subscriptions'!$B$7:$B$83,E66)&gt;0,COUNTIF('Current Subscriptions'!$C$7:$C$83,F66)&gt;0),"Yes","No")</x:f>
        <x:v>No</x:v>
      </x:c>
      <x:c r="H66" s="26" t="str">
        <x:v>31K views</x:v>
      </x:c>
      <x:c r="I66" s="26" t="str">
        <x:v>2 days ago</x:v>
      </x:c>
      <x:c r="J66" s="26" t="str">
        <x:v>7:40</x:v>
      </x:c>
      <x:c r="K66" s="96" t="str">
        <x:v>https://www.youtube.com/watch?v=iOCEoulzBEQ&amp;pp=ugUEEgJlbg%3D%3D</x:v>
      </x:c>
      <x:c r="L66" s="96" t="str">
        <x:v>https://www.youtube.com/@simplelucas</x:v>
      </x:c>
    </x:row>
    <x:row r="67" ht="32" customHeight="1">
      <x:c r="A67" s="26" t="n">
        <x:v>61</x:v>
      </x:c>
      <x:c r="B67" s="26" t="str">
        <x:v>Video</x:v>
      </x:c>
      <x:c r="C67" s="27" t="str">
        <x:v>Still Waters | Calm Handpan Music for Deep Rest &amp; Inner Peace (2 hours) | Changeofcolours</x:v>
      </x:c>
      <x:c r="D67" t="str">
        <x:v>APYawHxuvjU</x:v>
      </x:c>
      <x:c r="E67" t="str">
        <x:v>changeofcolours</x:v>
      </x:c>
      <x:c r="F67" t="str">
        <x:v>@changeofcolours</x:v>
      </x:c>
      <x:c r="G67" s="26" t="str">
        <x:f>IF(OR(COUNTIF('Current Subscriptions'!$B$7:$B$83,E67)&gt;0,COUNTIF('Current Subscriptions'!$C$7:$C$83,F67)&gt;0),"Yes","No")</x:f>
        <x:v>No</x:v>
      </x:c>
      <x:c r="H67" s="26" t="str">
        <x:v>44K views</x:v>
      </x:c>
      <x:c r="I67" s="26" t="str">
        <x:v>1 month ago</x:v>
      </x:c>
      <x:c r="J67" s="26" t="str">
        <x:v>2:03:08</x:v>
      </x:c>
      <x:c r="K67" s="96" t="str">
        <x:v>https://www.youtube.com/watch?v=APYawHxuvjU</x:v>
      </x:c>
      <x:c r="L67" s="96" t="str">
        <x:v>https://www.youtube.com/@changeofcolours</x:v>
      </x:c>
    </x:row>
    <x:row r="68" ht="32" customHeight="1">
      <x:c r="A68" s="26" t="n">
        <x:v>62</x:v>
      </x:c>
      <x:c r="B68" s="26" t="str">
        <x:v>Video</x:v>
      </x:c>
      <x:c r="C68" s="27" t="str">
        <x:v>You've (Likely) Been Playing The Game Of Life Wrong</x:v>
      </x:c>
      <x:c r="D68" t="str">
        <x:v>HBluLfX2F_k</x:v>
      </x:c>
      <x:c r="E68" t="str">
        <x:v>Veritasium</x:v>
      </x:c>
      <x:c r="F68" t="str">
        <x:v>@veritasium</x:v>
      </x:c>
      <x:c r="G68" s="26" t="str">
        <x:f>IF(OR(COUNTIF('Current Subscriptions'!$B$7:$B$83,E68)&gt;0,COUNTIF('Current Subscriptions'!$C$7:$C$83,F68)&gt;0),"Yes","No")</x:f>
        <x:v>No</x:v>
      </x:c>
      <x:c r="H68" s="26" t="str">
        <x:v>9.9M views</x:v>
      </x:c>
      <x:c r="I68" s="26" t="str">
        <x:v>8 months ago</x:v>
      </x:c>
      <x:c r="J68" s="26" t="str">
        <x:v>45:13</x:v>
      </x:c>
      <x:c r="K68" s="96" t="str">
        <x:v>https://www.youtube.com/watch?v=HBluLfX2F_k</x:v>
      </x:c>
      <x:c r="L68" s="96" t="str">
        <x:v>https://www.youtube.com/@veritasium</x:v>
      </x:c>
    </x:row>
    <x:row r="69" ht="32" customHeight="1">
      <x:c r="A69" s="26" t="n">
        <x:v>63</x:v>
      </x:c>
      <x:c r="B69" s="26" t="str">
        <x:v>Video</x:v>
      </x:c>
      <x:c r="C69" s="27" t="str">
        <x:v>Building an Electric Toyota Pickup Truck in 12 Minutes | Full DIY Build</x:v>
      </x:c>
      <x:c r="D69" t="str">
        <x:v>x1N0lCDgst0</x:v>
      </x:c>
      <x:c r="E69" t="str">
        <x:v>B_Serious</x:v>
      </x:c>
      <x:c r="F69" t="str">
        <x:v>@B_Serious_YT</x:v>
      </x:c>
      <x:c r="G69" s="26" t="str">
        <x:f>IF(OR(COUNTIF('Current Subscriptions'!$B$7:$B$83,E69)&gt;0,COUNTIF('Current Subscriptions'!$C$7:$C$83,F69)&gt;0),"Yes","No")</x:f>
        <x:v>No</x:v>
      </x:c>
      <x:c r="H69" s="26" t="str">
        <x:v>775K views</x:v>
      </x:c>
      <x:c r="I69" s="26" t="str">
        <x:v>2 months ago</x:v>
      </x:c>
      <x:c r="J69" s="26" t="str">
        <x:v>11:15</x:v>
      </x:c>
      <x:c r="K69" s="96" t="str">
        <x:v>https://www.youtube.com/watch?v=x1N0lCDgst0</x:v>
      </x:c>
      <x:c r="L69" s="96" t="str">
        <x:v>https://www.youtube.com/@B_Serious_YT</x:v>
      </x:c>
    </x:row>
    <x:row r="70" ht="32" customHeight="1">
      <x:c r="A70" s="26" t="n">
        <x:v>64</x:v>
      </x:c>
      <x:c r="B70" s="26" t="str">
        <x:v>Video</x:v>
      </x:c>
      <x:c r="C70" s="27" t="str">
        <x:v>gossip in the spirit realm about you</x:v>
      </x:c>
      <x:c r="D70" t="str">
        <x:v>zGT49VsMP-Y</x:v>
      </x:c>
      <x:c r="E70" t="str">
        <x:v>Nehal channeling</x:v>
      </x:c>
      <x:c r="F70" t="str">
        <x:v>@Nehalchanneling</x:v>
      </x:c>
      <x:c r="G70" s="26" t="str">
        <x:f>IF(OR(COUNTIF('Current Subscriptions'!$B$7:$B$83,E70)&gt;0,COUNTIF('Current Subscriptions'!$C$7:$C$83,F70)&gt;0),"Yes","No")</x:f>
        <x:v>No</x:v>
      </x:c>
      <x:c r="H70" s="26" t="str">
        <x:v>18K views</x:v>
      </x:c>
      <x:c r="I70" s="26" t="str">
        <x:v>3 days ago</x:v>
      </x:c>
      <x:c r="J70" s="26" t="str">
        <x:v>26:42</x:v>
      </x:c>
      <x:c r="K70" s="96" t="str">
        <x:v>https://www.youtube.com/watch?v=zGT49VsMP-Y&amp;pp=0gcJCRMMAYcqIYzv</x:v>
      </x:c>
      <x:c r="L70" s="96" t="str">
        <x:v>https://www.youtube.com/@Nehalchanneling</x:v>
      </x:c>
    </x:row>
    <x:row r="71" ht="32" customHeight="1">
      <x:c r="A71" s="26" t="n">
        <x:v>65</x:v>
      </x:c>
      <x:c r="B71" s="26" t="str">
        <x:v>Video</x:v>
      </x:c>
      <x:c r="C71" s="27" t="str">
        <x:v>I Did This Every Day To Learn French</x:v>
      </x:c>
      <x:c r="D71" t="str">
        <x:v>KnXIaBMN5Us</x:v>
      </x:c>
      <x:c r="E71" t="str">
        <x:v>Corinna Languages</x:v>
      </x:c>
      <x:c r="F71" t="str">
        <x:v>@CorinnaLanguages</x:v>
      </x:c>
      <x:c r="G71" s="26" t="str">
        <x:f>IF(OR(COUNTIF('Current Subscriptions'!$B$7:$B$83,E71)&gt;0,COUNTIF('Current Subscriptions'!$C$7:$C$83,F71)&gt;0),"Yes","No")</x:f>
        <x:v>No</x:v>
      </x:c>
      <x:c r="H71" s="26" t="str">
        <x:v>78K views</x:v>
      </x:c>
      <x:c r="I71" s="26" t="str">
        <x:v>3 months ago</x:v>
      </x:c>
      <x:c r="J71" s="26" t="str">
        <x:v>10:39</x:v>
      </x:c>
      <x:c r="K71" s="96" t="str">
        <x:v>https://www.youtube.com/watch?v=KnXIaBMN5Us&amp;pp=ugUEEgJlbg%3D%3D</x:v>
      </x:c>
      <x:c r="L71" s="96" t="str">
        <x:v>https://www.youtube.com/@CorinnaLanguages</x:v>
      </x:c>
    </x:row>
    <x:row r="72" ht="32" customHeight="1">
      <x:c r="A72" s="26" t="n">
        <x:v>66</x:v>
      </x:c>
      <x:c r="B72" s="26" t="str">
        <x:v>Video</x:v>
      </x:c>
      <x:c r="C72" s="27" t="str">
        <x:v>Red Hot Chili Peppers - Argentina 2023 (CORRECT AUDIO) (FULL SHOW HD) | River Plate Stadium</x:v>
      </x:c>
      <x:c r="D72" t="str">
        <x:v>hFGKwlebJ3E</x:v>
      </x:c>
      <x:c r="E72" t="str">
        <x:v>Red Hot Chili Peppers Argentina</x:v>
      </x:c>
      <x:c r="F72" t="str">
        <x:v>@RedHotChiliPeppersArgentina</x:v>
      </x:c>
      <x:c r="G72" s="26" t="str">
        <x:f>IF(OR(COUNTIF('Current Subscriptions'!$B$7:$B$83,E72)&gt;0,COUNTIF('Current Subscriptions'!$C$7:$C$83,F72)&gt;0),"Yes","No")</x:f>
        <x:v>No</x:v>
      </x:c>
      <x:c r="H72" s="26" t="str">
        <x:v>320K views</x:v>
      </x:c>
      <x:c r="I72" s="26" t="str">
        <x:v>2 years ago</x:v>
      </x:c>
      <x:c r="J72" s="26" t="str">
        <x:v>1:49:23</x:v>
      </x:c>
      <x:c r="K72" s="96" t="str">
        <x:v>https://www.youtube.com/watch?v=hFGKwlebJ3E</x:v>
      </x:c>
      <x:c r="L72" s="96" t="str">
        <x:v>https://www.youtube.com/@RedHotChiliPeppersArgentina</x:v>
      </x:c>
    </x:row>
    <x:row r="73" ht="32" customHeight="1">
      <x:c r="A73" s="26" t="n">
        <x:v>67</x:v>
      </x:c>
      <x:c r="B73" s="26" t="str">
        <x:v>Video</x:v>
      </x:c>
      <x:c r="C73" s="27" t="str">
        <x:v>Negotiation Expert: How To 3X Your Tech Salary</x:v>
      </x:c>
      <x:c r="D73" t="str">
        <x:v>v87stFQMFNY</x:v>
      </x:c>
      <x:c r="E73" t="str">
        <x:v>A Life Engineered</x:v>
      </x:c>
      <x:c r="F73" t="str">
        <x:v>@ALifeEngineered</x:v>
      </x:c>
      <x:c r="G73" s="26" t="str">
        <x:f>IF(OR(COUNTIF('Current Subscriptions'!$B$7:$B$83,E73)&gt;0,COUNTIF('Current Subscriptions'!$C$7:$C$83,F73)&gt;0),"Yes","No")</x:f>
        <x:v>Yes</x:v>
      </x:c>
      <x:c r="H73" s="26" t="str">
        <x:v>21K views</x:v>
      </x:c>
      <x:c r="I73" s="26" t="str">
        <x:v>9 days ago</x:v>
      </x:c>
      <x:c r="J73" s="26" t="str">
        <x:v>1:08:13</x:v>
      </x:c>
      <x:c r="K73" s="96" t="str">
        <x:v>https://www.youtube.com/watch?v=v87stFQMFNY&amp;pp=ugUEEgJlbg%3D%3D</x:v>
      </x:c>
      <x:c r="L73" s="96" t="str">
        <x:v>https://www.youtube.com/@ALifeEngineered</x:v>
      </x:c>
    </x:row>
    <x:row r="74" ht="32" customHeight="1">
      <x:c r="A74" s="26" t="n">
        <x:v>68</x:v>
      </x:c>
      <x:c r="B74" s="26" t="str">
        <x:v>Video</x:v>
      </x:c>
      <x:c r="C74" s="27" t="str">
        <x:v>how to *quickly* escape a dopamine hole</x:v>
      </x:c>
      <x:c r="D74" t="str">
        <x:v>eXQ3VVRuy1I</x:v>
      </x:c>
      <x:c r="E74" t="str">
        <x:v>Newel of Knowledge</x:v>
      </x:c>
      <x:c r="F74" t="str">
        <x:v>@NewelOfKnowledge</x:v>
      </x:c>
      <x:c r="G74" s="26" t="str">
        <x:f>IF(OR(COUNTIF('Current Subscriptions'!$B$7:$B$83,E74)&gt;0,COUNTIF('Current Subscriptions'!$C$7:$C$83,F74)&gt;0),"Yes","No")</x:f>
        <x:v>No</x:v>
      </x:c>
      <x:c r="H74" s="26" t="str">
        <x:v>2M views</x:v>
      </x:c>
      <x:c r="I74" s="26" t="str">
        <x:v>8 months ago</x:v>
      </x:c>
      <x:c r="J74" s="26" t="str">
        <x:v>16:38</x:v>
      </x:c>
      <x:c r="K74" s="96" t="str">
        <x:v>https://www.youtube.com/watch?v=eXQ3VVRuy1I</x:v>
      </x:c>
      <x:c r="L74" s="96" t="str">
        <x:v>https://www.youtube.com/@NewelOfKnowledge</x:v>
      </x:c>
    </x:row>
    <x:row r="75" ht="32" customHeight="1">
      <x:c r="A75" s="26" t="n">
        <x:v>69</x:v>
      </x:c>
      <x:c r="B75" s="26" t="str">
        <x:v>Video</x:v>
      </x:c>
      <x:c r="C75" s="27" t="str">
        <x:v>The Next Chapter: Nothing OS 5.0</x:v>
      </x:c>
      <x:c r="D75" t="str">
        <x:v>42BR1TMtz9c</x:v>
      </x:c>
      <x:c r="E75" t="str">
        <x:v>Nothing</x:v>
      </x:c>
      <x:c r="F75" t="str">
        <x:v>@NothingTechnology</x:v>
      </x:c>
      <x:c r="G75" s="26" t="str">
        <x:f>IF(OR(COUNTIF('Current Subscriptions'!$B$7:$B$83,E75)&gt;0,COUNTIF('Current Subscriptions'!$C$7:$C$83,F75)&gt;0),"Yes","No")</x:f>
        <x:v>No</x:v>
      </x:c>
      <x:c r="H75" s="26" t="str">
        <x:v>233K views</x:v>
      </x:c>
      <x:c r="I75" s="26" t="str">
        <x:v>1 day ago</x:v>
      </x:c>
      <x:c r="J75" s="26" t="str">
        <x:v>14:22</x:v>
      </x:c>
      <x:c r="K75" s="96" t="str">
        <x:v>https://www.youtube.com/watch?v=42BR1TMtz9c</x:v>
      </x:c>
      <x:c r="L75" s="96" t="str">
        <x:v>https://www.youtube.com/@NothingTechnology</x:v>
      </x:c>
    </x:row>
    <x:row r="76" ht="32" customHeight="1">
      <x:c r="A76" s="26" t="n">
        <x:v>70</x:v>
      </x:c>
      <x:c r="B76" s="26" t="str">
        <x:v>Video</x:v>
      </x:c>
      <x:c r="C76" s="27" t="str">
        <x:v>Vivre sans supermarché ni patron : le pari de l’autonomie | SLICE PEUPLES</x:v>
      </x:c>
      <x:c r="D76" t="str">
        <x:v>_oSwBHpOG2o</x:v>
      </x:c>
      <x:c r="E76" t="str">
        <x:v>SLICE Peuples</x:v>
      </x:c>
      <x:c r="F76" t="str">
        <x:v>@SLICE_Peuples</x:v>
      </x:c>
      <x:c r="G76" s="26" t="str">
        <x:f>IF(OR(COUNTIF('Current Subscriptions'!$B$7:$B$83,E76)&gt;0,COUNTIF('Current Subscriptions'!$C$7:$C$83,F76)&gt;0),"Yes","No")</x:f>
        <x:v>No</x:v>
      </x:c>
      <x:c r="H76" s="26" t="str">
        <x:v>589K views</x:v>
      </x:c>
      <x:c r="I76" s="26" t="str">
        <x:v>11 months ago</x:v>
      </x:c>
      <x:c r="J76" s="26" t="str">
        <x:v>52:20</x:v>
      </x:c>
      <x:c r="K76" s="96" t="str">
        <x:v>https://www.youtube.com/watch?v=_oSwBHpOG2o</x:v>
      </x:c>
      <x:c r="L76" s="96" t="str">
        <x:v>https://www.youtube.com/@SLICE_Peuples</x:v>
      </x:c>
    </x:row>
    <x:row r="77" ht="32" customHeight="1">
      <x:c r="A77" s="26" t="n">
        <x:v>71</x:v>
      </x:c>
      <x:c r="B77" s="26" t="str">
        <x:v>Video</x:v>
      </x:c>
      <x:c r="C77" s="27" t="str">
        <x:v>grow without new tech</x:v>
      </x:c>
      <x:c r="D77" t="str">
        <x:v>Y5wD227-BFk</x:v>
      </x:c>
      <x:c r="E77" t="str">
        <x:v>Hussein</x:v>
      </x:c>
      <x:c r="F77" t="str">
        <x:v>@hnasr3</x:v>
      </x:c>
      <x:c r="G77" s="26" t="str">
        <x:f>IF(OR(COUNTIF('Current Subscriptions'!$B$7:$B$83,E77)&gt;0,COUNTIF('Current Subscriptions'!$C$7:$C$83,F77)&gt;0),"Yes","No")</x:f>
        <x:v>No</x:v>
      </x:c>
      <x:c r="H77" s="26" t="str">
        <x:v>15K views</x:v>
      </x:c>
      <x:c r="I77" s="26" t="str">
        <x:v>5 days ago</x:v>
      </x:c>
      <x:c r="J77" s="26" t="str">
        <x:v>13:24</x:v>
      </x:c>
      <x:c r="K77" s="96" t="str">
        <x:v>https://www.youtube.com/watch?v=Y5wD227-BFk</x:v>
      </x:c>
      <x:c r="L77" s="96" t="str">
        <x:v>https://www.youtube.com/@hnasr3</x:v>
      </x:c>
    </x:row>
    <x:row r="78" ht="32" customHeight="1">
      <x:c r="A78" s="26" t="n">
        <x:v>72</x:v>
      </x:c>
      <x:c r="B78" s="26" t="str">
        <x:v>Video</x:v>
      </x:c>
      <x:c r="C78" s="27" t="str">
        <x:v>Khabib Nurmagomedov: Dagestan, MMA, UFC, Islam, Conor, Fedor &amp; Football | Lex Fridman Podcast #500</x:v>
      </x:c>
      <x:c r="D78" t="str">
        <x:v>l6USUAIKJls</x:v>
      </x:c>
      <x:c r="E78" t="str">
        <x:v>Lex Fridman</x:v>
      </x:c>
      <x:c r="F78" t="str">
        <x:v>@lexfridman</x:v>
      </x:c>
      <x:c r="G78" s="26" t="str">
        <x:f>IF(OR(COUNTIF('Current Subscriptions'!$B$7:$B$83,E78)&gt;0,COUNTIF('Current Subscriptions'!$C$7:$C$83,F78)&gt;0),"Yes","No")</x:f>
        <x:v>No</x:v>
      </x:c>
      <x:c r="H78" s="26" t="str">
        <x:v>1.6M views</x:v>
      </x:c>
      <x:c r="I78" s="26" t="str">
        <x:v>2 weeks ago</x:v>
      </x:c>
      <x:c r="J78" s="26" t="str">
        <x:v>3:12:58</x:v>
      </x:c>
      <x:c r="K78" s="96" t="str">
        <x:v>https://www.youtube.com/watch?v=l6USUAIKJls&amp;pp=ugUHEgVlbi1VUw%3D%3D</x:v>
      </x:c>
      <x:c r="L78" s="96" t="str">
        <x:v>https://www.youtube.com/@lexfridman</x:v>
      </x:c>
    </x:row>
    <x:row r="79" ht="32" customHeight="1">
      <x:c r="A79" s="26" t="n">
        <x:v>73</x:v>
      </x:c>
      <x:c r="B79" s="26" t="str">
        <x:v>Video</x:v>
      </x:c>
      <x:c r="C79" s="27" t="str">
        <x:v>Nothing Feels Stable Because You’re Entering a New Timeline</x:v>
      </x:c>
      <x:c r="D79" t="str">
        <x:v>eHglidMHJM4</x:v>
      </x:c>
      <x:c r="E79" t="str">
        <x:v>Light Resonance</x:v>
      </x:c>
      <x:c r="F79" t="str">
        <x:v>@LightResonance</x:v>
      </x:c>
      <x:c r="G79" s="26" t="str">
        <x:f>IF(OR(COUNTIF('Current Subscriptions'!$B$7:$B$83,E79)&gt;0,COUNTIF('Current Subscriptions'!$C$7:$C$83,F79)&gt;0),"Yes","No")</x:f>
        <x:v>No</x:v>
      </x:c>
      <x:c r="H79" s="26" t="str">
        <x:v>2.1K views</x:v>
      </x:c>
      <x:c r="I79" s="26" t="str">
        <x:v>1 day ago</x:v>
      </x:c>
      <x:c r="J79" s="26" t="str">
        <x:v>7:52</x:v>
      </x:c>
      <x:c r="K79" s="96" t="str">
        <x:v>https://www.youtube.com/watch?v=eHglidMHJM4&amp;pp=0gcJCRMMAYcqIYzv</x:v>
      </x:c>
      <x:c r="L79" s="96" t="str">
        <x:v>https://www.youtube.com/@LightResonance</x:v>
      </x:c>
    </x:row>
    <x:row r="80" ht="32" customHeight="1">
      <x:c r="A80" s="26" t="n">
        <x:v>74</x:v>
      </x:c>
      <x:c r="B80" s="26" t="str">
        <x:v>Video</x:v>
      </x:c>
      <x:c r="C80" s="27" t="str">
        <x:v>How Good-Faith Relationships Become Toxic (And How They Change)</x:v>
      </x:c>
      <x:c r="D80" t="str">
        <x:v>FvXUt-yrUUQ</x:v>
      </x:c>
      <x:c r="E80" t="str">
        <x:v>Heidi Priebe</x:v>
      </x:c>
      <x:c r="F80" t="str">
        <x:v>@heidipriebe1</x:v>
      </x:c>
      <x:c r="G80" s="26" t="str">
        <x:f>IF(OR(COUNTIF('Current Subscriptions'!$B$7:$B$83,E80)&gt;0,COUNTIF('Current Subscriptions'!$C$7:$C$83,F80)&gt;0),"Yes","No")</x:f>
        <x:v>No</x:v>
      </x:c>
      <x:c r="H80" s="26" t="str">
        <x:v>48K views</x:v>
      </x:c>
      <x:c r="I80" s="26" t="str">
        <x:v>8 months ago</x:v>
      </x:c>
      <x:c r="J80" s="26" t="str">
        <x:v>40:20</x:v>
      </x:c>
      <x:c r="K80" s="96" t="str">
        <x:v>https://www.youtube.com/watch?v=FvXUt-yrUUQ&amp;pp=ugUEEgJlbtIHCQkTDAGHKiGM7w%3D%3D</x:v>
      </x:c>
      <x:c r="L80" s="96" t="str">
        <x:v>https://www.youtube.com/@heidipriebe1</x:v>
      </x:c>
    </x:row>
    <x:row r="81" ht="32" customHeight="1">
      <x:c r="A81" s="26" t="n">
        <x:v>75</x:v>
      </x:c>
      <x:c r="B81" s="26" t="str">
        <x:v>Video</x:v>
      </x:c>
      <x:c r="C81" s="27" t="str">
        <x:v>8 Tiny Japanese Habits That Make a Massive Difference</x:v>
      </x:c>
      <x:c r="D81" t="str">
        <x:v>t0fqRqLHq_w</x:v>
      </x:c>
      <x:c r="E81" t="str">
        <x:v>What’s The Next Level</x:v>
      </x:c>
      <x:c r="F81" t="str">
        <x:v>@WutNexLev</x:v>
      </x:c>
      <x:c r="G81" s="26" t="str">
        <x:f>IF(OR(COUNTIF('Current Subscriptions'!$B$7:$B$83,E81)&gt;0,COUNTIF('Current Subscriptions'!$C$7:$C$83,F81)&gt;0),"Yes","No")</x:f>
        <x:v>No</x:v>
      </x:c>
      <x:c r="H81" s="26" t="str">
        <x:v>2.5M views</x:v>
      </x:c>
      <x:c r="I81" s="26" t="str">
        <x:v>9 months ago</x:v>
      </x:c>
      <x:c r="J81" s="26" t="str">
        <x:v>15:54</x:v>
      </x:c>
      <x:c r="K81" s="96" t="str">
        <x:v>https://www.youtube.com/watch?v=t0fqRqLHq_w</x:v>
      </x:c>
      <x:c r="L81" s="96" t="str">
        <x:v>https://www.youtube.com/@WutNexLev</x:v>
      </x:c>
    </x:row>
    <x:row r="82" ht="32" customHeight="1">
      <x:c r="A82" s="26" t="n">
        <x:v>76</x:v>
      </x:c>
      <x:c r="B82" s="26" t="str">
        <x:v>Video</x:v>
      </x:c>
      <x:c r="C82" s="27" t="str">
        <x:v>Turning a $150 AC Into a Super-Efficient Geothermal Unit!</x:v>
      </x:c>
      <x:c r="D82" t="str">
        <x:v>s-41UF02vrU</x:v>
      </x:c>
      <x:c r="E82" t="str">
        <x:v>Tech Ingredients</x:v>
      </x:c>
      <x:c r="F82" t="str">
        <x:v>@TechIngredients</x:v>
      </x:c>
      <x:c r="G82" s="26" t="str">
        <x:f>IF(OR(COUNTIF('Current Subscriptions'!$B$7:$B$83,E82)&gt;0,COUNTIF('Current Subscriptions'!$C$7:$C$83,F82)&gt;0),"Yes","No")</x:f>
        <x:v>No</x:v>
      </x:c>
      <x:c r="H82" s="26" t="str">
        <x:v>2.6M views</x:v>
      </x:c>
      <x:c r="I82" s="26" t="str">
        <x:v>1 year ago</x:v>
      </x:c>
      <x:c r="J82" s="26" t="str">
        <x:v>57:43</x:v>
      </x:c>
      <x:c r="K82" s="96" t="str">
        <x:v>https://www.youtube.com/watch?v=s-41UF02vrU&amp;pp=ugUEEgJlbg%3D%3D</x:v>
      </x:c>
      <x:c r="L82" s="96" t="str">
        <x:v>https://www.youtube.com/@TechIngredients</x:v>
      </x:c>
    </x:row>
    <x:row r="83" ht="32" customHeight="1">
      <x:c r="A83" s="26" t="n">
        <x:v>77</x:v>
      </x:c>
      <x:c r="B83" s="26" t="str">
        <x:v>Video</x:v>
      </x:c>
      <x:c r="C83" s="27" t="str">
        <x:v>Giving you guys a chance....</x:v>
      </x:c>
      <x:c r="D83" t="str">
        <x:v>yfQAnBol6Jw</x:v>
      </x:c>
      <x:c r="E83" t="str">
        <x:v>PewDiePie</x:v>
      </x:c>
      <x:c r="F83" t="str">
        <x:v>@PewDiePie</x:v>
      </x:c>
      <x:c r="G83" s="26" t="str">
        <x:f>IF(OR(COUNTIF('Current Subscriptions'!$B$7:$B$83,E83)&gt;0,COUNTIF('Current Subscriptions'!$C$7:$C$83,F83)&gt;0),"Yes","No")</x:f>
        <x:v>Yes</x:v>
      </x:c>
      <x:c r="H83" s="26" t="str">
        <x:v>2.7M views</x:v>
      </x:c>
      <x:c r="I83" s="26" t="str">
        <x:v>1 year ago</x:v>
      </x:c>
      <x:c r="J83" s="26" t="str">
        <x:v>21:45</x:v>
      </x:c>
      <x:c r="K83" s="96" t="str">
        <x:v>https://www.youtube.com/watch?v=yfQAnBol6Jw&amp;pp=0gcJCRMMAYcqIYzv</x:v>
      </x:c>
      <x:c r="L83" s="96" t="str">
        <x:v>https://www.youtube.com/@PewDiePie</x:v>
      </x:c>
    </x:row>
    <x:row r="84" ht="32" customHeight="1">
      <x:c r="A84" s="26" t="n">
        <x:v>78</x:v>
      </x:c>
      <x:c r="B84" s="26" t="str">
        <x:v>Video</x:v>
      </x:c>
      <x:c r="C84" s="27" t="str">
        <x:v>Dr. Mike vs 20 RFK Jr. Supporters | Surrounded</x:v>
      </x:c>
      <x:c r="D84" t="str">
        <x:v>y90R8BPc8Ag</x:v>
      </x:c>
      <x:c r="E84" t="str">
        <x:v>Jubilee</x:v>
      </x:c>
      <x:c r="F84" t="str">
        <x:v>@jubilee</x:v>
      </x:c>
      <x:c r="G84" s="26" t="str">
        <x:f>IF(OR(COUNTIF('Current Subscriptions'!$B$7:$B$83,E84)&gt;0,COUNTIF('Current Subscriptions'!$C$7:$C$83,F84)&gt;0),"Yes","No")</x:f>
        <x:v>No</x:v>
      </x:c>
      <x:c r="H84" s="26" t="str">
        <x:v>3.7M views</x:v>
      </x:c>
      <x:c r="I84" s="26" t="str">
        <x:v>8 months ago</x:v>
      </x:c>
      <x:c r="J84" s="26" t="str">
        <x:v>1:46:46</x:v>
      </x:c>
      <x:c r="K84" s="96" t="str">
        <x:v>https://www.youtube.com/watch?v=y90R8BPc8Ag</x:v>
      </x:c>
      <x:c r="L84" s="96" t="str">
        <x:v>https://www.youtube.com/@jubilee</x:v>
      </x:c>
    </x:row>
    <x:row r="85" ht="32" customHeight="1">
      <x:c r="A85" s="26" t="n">
        <x:v>79</x:v>
      </x:c>
      <x:c r="B85" s="26" t="str">
        <x:v>Video</x:v>
      </x:c>
      <x:c r="C85" s="27" t="str">
        <x:v>Buying CHEAP eBay Electronics to Fix and Make Profit! S1:E61</x:v>
      </x:c>
      <x:c r="D85" t="str">
        <x:v>yVVfNDoN9qs</x:v>
      </x:c>
      <x:c r="E85" t="str">
        <x:v>Joey Does Tech</x:v>
      </x:c>
      <x:c r="F85" t="str">
        <x:v>@JoeyDoesTech</x:v>
      </x:c>
      <x:c r="G85" s="26" t="str">
        <x:f>IF(OR(COUNTIF('Current Subscriptions'!$B$7:$B$83,E85)&gt;0,COUNTIF('Current Subscriptions'!$C$7:$C$83,F85)&gt;0),"Yes","No")</x:f>
        <x:v>No</x:v>
      </x:c>
      <x:c r="H85" s="26" t="str">
        <x:v>581K views</x:v>
      </x:c>
      <x:c r="I85" s="26" t="str">
        <x:v>2 years ago</x:v>
      </x:c>
      <x:c r="J85" s="26" t="str">
        <x:v>22:23</x:v>
      </x:c>
      <x:c r="K85" s="96" t="str">
        <x:v>https://www.youtube.com/watch?v=yVVfNDoN9qs&amp;pp=ugUHEgVlbi1HQg%3D%3D</x:v>
      </x:c>
      <x:c r="L85" s="96" t="str">
        <x:v>https://www.youtube.com/@JoeyDoesTech</x:v>
      </x:c>
    </x:row>
    <x:row r="86" ht="32" customHeight="1">
      <x:c r="A86" s="26" t="n">
        <x:v>80</x:v>
      </x:c>
      <x:c r="B86" s="26" t="str">
        <x:v>Video</x:v>
      </x:c>
      <x:c r="C86" s="27" t="str">
        <x:v>being “positive” is pretty much the only option</x:v>
      </x:c>
      <x:c r="D86" t="str">
        <x:v>i4yOYHBm3rY</x:v>
      </x:c>
      <x:c r="E86" t="str">
        <x:v>Ryan Robinson</x:v>
      </x:c>
      <x:c r="F86" t="str">
        <x:v>@robinson_ryan</x:v>
      </x:c>
      <x:c r="G86" s="26" t="str">
        <x:f>IF(OR(COUNTIF('Current Subscriptions'!$B$7:$B$83,E86)&gt;0,COUNTIF('Current Subscriptions'!$C$7:$C$83,F86)&gt;0),"Yes","No")</x:f>
        <x:v>No</x:v>
      </x:c>
      <x:c r="H86" s="26" t="str">
        <x:v>206K views</x:v>
      </x:c>
      <x:c r="I86" s="26" t="str">
        <x:v>1 month ago</x:v>
      </x:c>
      <x:c r="J86" s="26" t="str">
        <x:v>4:50</x:v>
      </x:c>
      <x:c r="K86" s="96" t="str">
        <x:v>https://www.youtube.com/watch?v=i4yOYHBm3rY&amp;pp=ugUEEgJlbg%3D%3D</x:v>
      </x:c>
      <x:c r="L86" s="96" t="str">
        <x:v>https://www.youtube.com/@robinson_ryan</x:v>
      </x:c>
    </x:row>
    <x:row r="87" ht="32" customHeight="1">
      <x:c r="A87" s="26" t="n">
        <x:v>81</x:v>
      </x:c>
      <x:c r="B87" s="26" t="str">
        <x:v>Video</x:v>
      </x:c>
      <x:c r="C87" s="27" t="str">
        <x:v>Billy Strings: Tiny Desk Concert</x:v>
      </x:c>
      <x:c r="D87" t="str">
        <x:v>WgqaxMOKfnI</x:v>
      </x:c>
      <x:c r="E87" t="str">
        <x:v>NPR Music</x:v>
      </x:c>
      <x:c r="F87" t="str">
        <x:v>@nprmusic</x:v>
      </x:c>
      <x:c r="G87" s="26" t="str">
        <x:f>IF(OR(COUNTIF('Current Subscriptions'!$B$7:$B$83,E87)&gt;0,COUNTIF('Current Subscriptions'!$C$7:$C$83,F87)&gt;0),"Yes","No")</x:f>
        <x:v>No</x:v>
      </x:c>
      <x:c r="H87" s="26" t="str">
        <x:v>2.5M views</x:v>
      </x:c>
      <x:c r="I87" s="26" t="str">
        <x:v>8 months ago</x:v>
      </x:c>
      <x:c r="J87" s="26" t="str">
        <x:v>22:39</x:v>
      </x:c>
      <x:c r="K87" s="96" t="str">
        <x:v>https://www.youtube.com/watch?v=WgqaxMOKfnI</x:v>
      </x:c>
      <x:c r="L87" s="96" t="str">
        <x:v>https://www.youtube.com/@nprmusic</x:v>
      </x:c>
    </x:row>
    <x:row r="88" ht="32" customHeight="1">
      <x:c r="A88" s="26" t="n">
        <x:v>82</x:v>
      </x:c>
      <x:c r="B88" s="26" t="str">
        <x:v>Video</x:v>
      </x:c>
      <x:c r="C88" s="27" t="str">
        <x:v>I Hate Modern Desks... So I Built This.</x:v>
      </x:c>
      <x:c r="D88" t="str">
        <x:v>R1ul9iBhpVM</x:v>
      </x:c>
      <x:c r="E88" t="str">
        <x:v>Morley Kert</x:v>
      </x:c>
      <x:c r="F88" t="str">
        <x:v>@MorleyKert</x:v>
      </x:c>
      <x:c r="G88" s="26" t="str">
        <x:f>IF(OR(COUNTIF('Current Subscriptions'!$B$7:$B$83,E88)&gt;0,COUNTIF('Current Subscriptions'!$C$7:$C$83,F88)&gt;0),"Yes","No")</x:f>
        <x:v>No</x:v>
      </x:c>
      <x:c r="H88" s="26" t="str">
        <x:v>2.9M views</x:v>
      </x:c>
      <x:c r="I88" s="26" t="str">
        <x:v>2 months ago</x:v>
      </x:c>
      <x:c r="J88" s="26" t="str">
        <x:v>28:49</x:v>
      </x:c>
      <x:c r="K88" s="96" t="str">
        <x:v>https://www.youtube.com/watch?v=R1ul9iBhpVM&amp;pp=ugUEEgJlbg%3D%3D</x:v>
      </x:c>
      <x:c r="L88" s="96" t="str">
        <x:v>https://www.youtube.com/@MorleyKert</x:v>
      </x:c>
    </x:row>
    <x:row r="89" ht="32" customHeight="1">
      <x:c r="A89" s="26" t="n">
        <x:v>83</x:v>
      </x:c>
      <x:c r="B89" s="26" t="str">
        <x:v>Video</x:v>
      </x:c>
      <x:c r="C89" s="27" t="str">
        <x:v>A jury just found out what AI is actually for</x:v>
      </x:c>
      <x:c r="D89" t="str">
        <x:v>w2fv664Ndf4</x:v>
      </x:c>
      <x:c r="E89" t="str">
        <x:v>Mo Bitar</x:v>
      </x:c>
      <x:c r="F89" t="str">
        <x:v>@atmoio</x:v>
      </x:c>
      <x:c r="G89" s="26" t="str">
        <x:f>IF(OR(COUNTIF('Current Subscriptions'!$B$7:$B$83,E89)&gt;0,COUNTIF('Current Subscriptions'!$C$7:$C$83,F89)&gt;0),"Yes","No")</x:f>
        <x:v>No</x:v>
      </x:c>
      <x:c r="H89" s="26" t="str">
        <x:v>492K views</x:v>
      </x:c>
      <x:c r="I89" s="26" t="str">
        <x:v>2 days ago</x:v>
      </x:c>
      <x:c r="J89" s="26" t="str">
        <x:v>8:14</x:v>
      </x:c>
      <x:c r="K89" s="96" t="str">
        <x:v>https://www.youtube.com/watch?v=w2fv664Ndf4&amp;pp=ugUEEgJlbg%3D%3D</x:v>
      </x:c>
      <x:c r="L89" s="96" t="str">
        <x:v>https://www.youtube.com/@atmoio</x:v>
      </x:c>
    </x:row>
    <x:row r="90" ht="32" customHeight="1">
      <x:c r="A90" s="26" t="n">
        <x:v>84</x:v>
      </x:c>
      <x:c r="B90" s="26" t="str">
        <x:v>Video</x:v>
      </x:c>
      <x:c r="C90" s="27" t="str">
        <x:v>Let's build a voltage multiplier!</x:v>
      </x:c>
      <x:c r="D90" t="str">
        <x:v>4alV5LzHLE4</x:v>
      </x:c>
      <x:c r="E90" t="str">
        <x:v>Ben Eater</x:v>
      </x:c>
      <x:c r="F90" t="str">
        <x:v>@BenEater</x:v>
      </x:c>
      <x:c r="G90" s="26" t="str">
        <x:f>IF(OR(COUNTIF('Current Subscriptions'!$B$7:$B$83,E90)&gt;0,COUNTIF('Current Subscriptions'!$C$7:$C$83,F90)&gt;0),"Yes","No")</x:f>
        <x:v>No</x:v>
      </x:c>
      <x:c r="H90" s="26" t="str">
        <x:v>3M views</x:v>
      </x:c>
      <x:c r="I90" s="26" t="str">
        <x:v>3 years ago</x:v>
      </x:c>
      <x:c r="J90" s="26" t="str">
        <x:v>16:32</x:v>
      </x:c>
      <x:c r="K90" s="96" t="str">
        <x:v>https://www.youtube.com/watch?v=4alV5LzHLE4&amp;pp=ugUEEgJlbg%3D%3D</x:v>
      </x:c>
      <x:c r="L90" s="96" t="str">
        <x:v>https://www.youtube.com/@BenEater</x:v>
      </x:c>
    </x:row>
    <x:row r="91" ht="32" customHeight="1">
      <x:c r="A91" s="26" t="n">
        <x:v>85</x:v>
      </x:c>
      <x:c r="B91" s="26" t="str">
        <x:v>Video</x:v>
      </x:c>
      <x:c r="C91" s="27" t="str">
        <x:v>Hunting Humans - Detective Howie Ryan and Clark Fredericks</x:v>
      </x:c>
      <x:c r="D91" t="str">
        <x:v>_BZ0OqG9A2M</x:v>
      </x:c>
      <x:c r="E91" t="str">
        <x:v>Soft White Underbelly</x:v>
      </x:c>
      <x:c r="F91" t="str">
        <x:v>@SoftWhiteUnderbelly</x:v>
      </x:c>
      <x:c r="G91" s="26" t="str">
        <x:f>IF(OR(COUNTIF('Current Subscriptions'!$B$7:$B$83,E91)&gt;0,COUNTIF('Current Subscriptions'!$C$7:$C$83,F91)&gt;0),"Yes","No")</x:f>
        <x:v>No</x:v>
      </x:c>
      <x:c r="H91" s="26" t="str">
        <x:v>343K views</x:v>
      </x:c>
      <x:c r="I91" s="26" t="str">
        <x:v>1 month ago</x:v>
      </x:c>
      <x:c r="J91" s="26" t="str">
        <x:v>2:54:27</x:v>
      </x:c>
      <x:c r="K91" s="96" t="str">
        <x:v>https://www.youtube.com/watch?v=_BZ0OqG9A2M</x:v>
      </x:c>
      <x:c r="L91" s="96" t="str">
        <x:v>https://www.youtube.com/@SoftWhiteUnderbelly</x:v>
      </x:c>
    </x:row>
    <x:row r="92" ht="32" customHeight="1">
      <x:c r="A92" s="26" t="n">
        <x:v>86</x:v>
      </x:c>
      <x:c r="B92" s="26" t="str">
        <x:v>Video</x:v>
      </x:c>
      <x:c r="C92" s="27" t="str">
        <x:v>I learned Odin</x:v>
      </x:c>
      <x:c r="D92" t="str">
        <x:v>HwmqZTnb7Co</x:v>
      </x:c>
      <x:c r="E92" t="str">
        <x:v>ThePrimeagen</x:v>
      </x:c>
      <x:c r="F92" t="str">
        <x:v>@ThePrimeagen</x:v>
      </x:c>
      <x:c r="G92" s="26" t="str">
        <x:f>IF(OR(COUNTIF('Current Subscriptions'!$B$7:$B$83,E92)&gt;0,COUNTIF('Current Subscriptions'!$C$7:$C$83,F92)&gt;0),"Yes","No")</x:f>
        <x:v>Yes</x:v>
      </x:c>
      <x:c r="H92" s="26" t="str">
        <x:v>215K views</x:v>
      </x:c>
      <x:c r="I92" s="26" t="str">
        <x:v>2 months ago</x:v>
      </x:c>
      <x:c r="J92" s="26" t="str">
        <x:v>9:59</x:v>
      </x:c>
      <x:c r="K92" s="96" t="str">
        <x:v>https://www.youtube.com/watch?v=HwmqZTnb7Co&amp;pp=ugUHEgVlbi1VUw%3D%3D</x:v>
      </x:c>
      <x:c r="L92" s="96" t="str">
        <x:v>https://www.youtube.com/@ThePrimeagen</x:v>
      </x:c>
    </x:row>
    <x:row r="93" ht="32" customHeight="1">
      <x:c r="A93" s="26" t="n">
        <x:v>87</x:v>
      </x:c>
      <x:c r="B93" s="26" t="str">
        <x:v>Video</x:v>
      </x:c>
      <x:c r="C93" s="27" t="str">
        <x:v>The Courage To Be Misunderstood - Carl Jung</x:v>
      </x:c>
      <x:c r="D93" t="str">
        <x:v>Ib1izyUjlZ8</x:v>
      </x:c>
      <x:c r="E93" t="str">
        <x:v>Queen</x:v>
      </x:c>
      <x:c r="F93" t="str">
        <x:v>@Queen3369</x:v>
      </x:c>
      <x:c r="G93" s="26" t="str">
        <x:f>IF(OR(COUNTIF('Current Subscriptions'!$B$7:$B$83,E93)&gt;0,COUNTIF('Current Subscriptions'!$C$7:$C$83,F93)&gt;0),"Yes","No")</x:f>
        <x:v>No</x:v>
      </x:c>
      <x:c r="H93" s="26" t="str">
        <x:v>58K views</x:v>
      </x:c>
      <x:c r="I93" s="26" t="str">
        <x:v>12 days ago</x:v>
      </x:c>
      <x:c r="J93" s="26" t="str">
        <x:v>40:11</x:v>
      </x:c>
      <x:c r="K93" s="96" t="str">
        <x:v>https://www.youtube.com/watch?v=Ib1izyUjlZ8</x:v>
      </x:c>
      <x:c r="L93" s="96" t="str">
        <x:v>https://www.youtube.com/@Queen3369</x:v>
      </x:c>
    </x:row>
    <x:row r="94" ht="32" customHeight="1">
      <x:c r="A94" s="26" t="n">
        <x:v>88</x:v>
      </x:c>
      <x:c r="B94" s="26" t="str">
        <x:v>Video</x:v>
      </x:c>
      <x:c r="C94" s="27" t="str">
        <x:v>Is It Difficult To Learn French? | Easy French 193</x:v>
      </x:c>
      <x:c r="D94" t="str">
        <x:v>w_9ynCt9nLc</x:v>
      </x:c>
      <x:c r="E94" t="str">
        <x:v>Easy French</x:v>
      </x:c>
      <x:c r="F94" t="str">
        <x:v>@EasyFrench</x:v>
      </x:c>
      <x:c r="G94" s="26" t="str">
        <x:f>IF(OR(COUNTIF('Current Subscriptions'!$B$7:$B$83,E94)&gt;0,COUNTIF('Current Subscriptions'!$C$7:$C$83,F94)&gt;0),"Yes","No")</x:f>
        <x:v>No</x:v>
      </x:c>
      <x:c r="H94" s="26" t="str">
        <x:v>404K views</x:v>
      </x:c>
      <x:c r="I94" s="26" t="str">
        <x:v>2 years ago</x:v>
      </x:c>
      <x:c r="J94" s="26" t="str">
        <x:v>11:29</x:v>
      </x:c>
      <x:c r="K94" s="96" t="str">
        <x:v>https://www.youtube.com/watch?v=w_9ynCt9nLc</x:v>
      </x:c>
      <x:c r="L94" s="96" t="str">
        <x:v>https://www.youtube.com/@EasyFrench</x:v>
      </x:c>
    </x:row>
    <x:row r="95" ht="32" customHeight="1">
      <x:c r="A95" s="26" t="n">
        <x:v>89</x:v>
      </x:c>
      <x:c r="B95" s="26" t="str">
        <x:v>Video</x:v>
      </x:c>
      <x:c r="C95" s="27" t="str">
        <x:v>music for bugs - full album</x:v>
      </x:c>
      <x:c r="D95" t="str">
        <x:v>rIYnXgvRJVM</x:v>
      </x:c>
      <x:c r="E95" t="str">
        <x:v>camiidae</x:v>
      </x:c>
      <x:c r="F95" t="str">
        <x:v>@camiidae</x:v>
      </x:c>
      <x:c r="G95" s="26" t="str">
        <x:f>IF(OR(COUNTIF('Current Subscriptions'!$B$7:$B$83,E95)&gt;0,COUNTIF('Current Subscriptions'!$C$7:$C$83,F95)&gt;0),"Yes","No")</x:f>
        <x:v>No</x:v>
      </x:c>
      <x:c r="H95" s="26" t="str">
        <x:v>1.3M views</x:v>
      </x:c>
      <x:c r="I95" s="26" t="str">
        <x:v>3 years ago</x:v>
      </x:c>
      <x:c r="J95" s="26" t="str">
        <x:v>29:17</x:v>
      </x:c>
      <x:c r="K95" s="96" t="str">
        <x:v>https://www.youtube.com/watch?v=rIYnXgvRJVM</x:v>
      </x:c>
      <x:c r="L95" s="96" t="str">
        <x:v>https://www.youtube.com/@camiidae</x:v>
      </x:c>
    </x:row>
    <x:row r="96" ht="32" customHeight="1">
      <x:c r="A96" s="26" t="n">
        <x:v>90</x:v>
      </x:c>
      <x:c r="B96" s="26" t="str">
        <x:v>Video</x:v>
      </x:c>
      <x:c r="C96" s="27" t="str">
        <x:v>Meet The World's Most Measured Woman</x:v>
      </x:c>
      <x:c r="D96" t="str">
        <x:v>iuRr_5j9qkY</x:v>
      </x:c>
      <x:c r="E96" t="str">
        <x:v>Bryan Johnson</x:v>
      </x:c>
      <x:c r="F96" t="str">
        <x:v>@BryanJohnson</x:v>
      </x:c>
      <x:c r="G96" s="26" t="str">
        <x:f>IF(OR(COUNTIF('Current Subscriptions'!$B$7:$B$83,E96)&gt;0,COUNTIF('Current Subscriptions'!$C$7:$C$83,F96)&gt;0),"Yes","No")</x:f>
        <x:v>No</x:v>
      </x:c>
      <x:c r="H96" s="26" t="str">
        <x:v>185K views</x:v>
      </x:c>
      <x:c r="I96" s="26" t="str">
        <x:v>5 days ago</x:v>
      </x:c>
      <x:c r="J96" s="26" t="str">
        <x:v>6:41</x:v>
      </x:c>
      <x:c r="K96" s="96" t="str">
        <x:v>https://www.youtube.com/watch?v=iuRr_5j9qkY</x:v>
      </x:c>
      <x:c r="L96" s="96" t="str">
        <x:v>https://www.youtube.com/@BryanJohnson</x:v>
      </x:c>
    </x:row>
    <x:row r="97" ht="32" customHeight="1">
      <x:c r="A97" s="26" t="n">
        <x:v>91</x:v>
      </x:c>
      <x:c r="B97" s="26" t="str">
        <x:v>Video</x:v>
      </x:c>
      <x:c r="C97" s="27" t="str">
        <x:v>AURORA Live from COP26 | UMA Entertainment</x:v>
      </x:c>
      <x:c r="D97" t="str">
        <x:v>qHPIPdPhUP0</x:v>
      </x:c>
      <x:c r="E97" t="str">
        <x:v>UMA Studios</x:v>
      </x:c>
      <x:c r="F97" t="str">
        <x:v>@umaentertain</x:v>
      </x:c>
      <x:c r="G97" s="26" t="str">
        <x:f>IF(OR(COUNTIF('Current Subscriptions'!$B$7:$B$83,E97)&gt;0,COUNTIF('Current Subscriptions'!$C$7:$C$83,F97)&gt;0),"Yes","No")</x:f>
        <x:v>No</x:v>
      </x:c>
      <x:c r="H97" s="26" t="str">
        <x:v>1.6M views</x:v>
      </x:c>
      <x:c r="I97" s="26" t="str">
        <x:v>4 years ago</x:v>
      </x:c>
      <x:c r="J97" s="26" t="str">
        <x:v>45:45</x:v>
      </x:c>
      <x:c r="K97" s="96" t="str">
        <x:v>https://www.youtube.com/watch?v=qHPIPdPhUP0</x:v>
      </x:c>
      <x:c r="L97" s="96" t="str">
        <x:v>https://www.youtube.com/@umaentertain</x:v>
      </x:c>
    </x:row>
    <x:row r="98" ht="32" customHeight="1">
      <x:c r="A98" s="26" t="n">
        <x:v>92</x:v>
      </x:c>
      <x:c r="B98" s="26" t="str">
        <x:v>Video</x:v>
      </x:c>
      <x:c r="C98" s="27" t="str">
        <x:v>How I Tricked Myself Into Believing I Could</x:v>
      </x:c>
      <x:c r="D98" t="str">
        <x:v>_nfMSscxBhQ</x:v>
      </x:c>
      <x:c r="E98" t="str">
        <x:v>Brooke Cormier</x:v>
      </x:c>
      <x:c r="F98" t="str">
        <x:v>@b.cormier</x:v>
      </x:c>
      <x:c r="G98" s="26" t="str">
        <x:f>IF(OR(COUNTIF('Current Subscriptions'!$B$7:$B$83,E98)&gt;0,COUNTIF('Current Subscriptions'!$C$7:$C$83,F98)&gt;0),"Yes","No")</x:f>
        <x:v>No</x:v>
      </x:c>
      <x:c r="H98" s="26" t="str">
        <x:v>788K views</x:v>
      </x:c>
      <x:c r="I98" s="26" t="str">
        <x:v>8 months ago</x:v>
      </x:c>
      <x:c r="J98" s="26" t="str">
        <x:v>16:11</x:v>
      </x:c>
      <x:c r="K98" s="96" t="str">
        <x:v>https://www.youtube.com/watch?v=_nfMSscxBhQ</x:v>
      </x:c>
      <x:c r="L98" s="96" t="str">
        <x:v>https://www.youtube.com/@b.cormier</x:v>
      </x:c>
    </x:row>
    <x:row r="99" ht="32" customHeight="1">
      <x:c r="A99" s="26" t="n">
        <x:v>93</x:v>
      </x:c>
      <x:c r="B99" s="26" t="str">
        <x:v>Video</x:v>
      </x:c>
      <x:c r="C99" s="27" t="str">
        <x:v>Focus On Yourself Not Others 🌟 A Buddhist Guide to Finding Inner Peace</x:v>
      </x:c>
      <x:c r="D99" t="str">
        <x:v>qaQWgCzoHyg</x:v>
      </x:c>
      <x:c r="E99" t="str">
        <x:v>Perfect Life Seven GN</x:v>
      </x:c>
      <x:c r="F99" t="str">
        <x:v>@PerfectLifesevenGN</x:v>
      </x:c>
      <x:c r="G99" s="26" t="str">
        <x:f>IF(OR(COUNTIF('Current Subscriptions'!$B$7:$B$83,E99)&gt;0,COUNTIF('Current Subscriptions'!$C$7:$C$83,F99)&gt;0),"Yes","No")</x:f>
        <x:v>No</x:v>
      </x:c>
      <x:c r="H99" s="26" t="str">
        <x:v>293K views</x:v>
      </x:c>
      <x:c r="I99" s="26" t="str">
        <x:v>1 year ago</x:v>
      </x:c>
      <x:c r="J99" s="26" t="str">
        <x:v>7:40</x:v>
      </x:c>
      <x:c r="K99" s="96" t="str">
        <x:v>https://www.youtube.com/watch?v=qaQWgCzoHyg&amp;pp=ugUEEgJlbg%3D%3D</x:v>
      </x:c>
      <x:c r="L99" s="96" t="str">
        <x:v>https://www.youtube.com/@PerfectLifesevenGN</x:v>
      </x:c>
    </x:row>
    <x:row r="100" ht="32" customHeight="1">
      <x:c r="A100" s="26" t="n">
        <x:v>94</x:v>
      </x:c>
      <x:c r="B100" s="26" t="str">
        <x:v>Video</x:v>
      </x:c>
      <x:c r="C100" s="27" t="str">
        <x:v>Learn Advanced French with Movies: Ratatouille</x:v>
      </x:c>
      <x:c r="D100" t="str">
        <x:v>WvKz0hBA5KE</x:v>
      </x:c>
      <x:c r="E100" t="str">
        <x:v>FluentU French</x:v>
      </x:c>
      <x:c r="F100" t="str">
        <x:v>@FluentUFrench</x:v>
      </x:c>
      <x:c r="G100" s="26" t="str">
        <x:f>IF(OR(COUNTIF('Current Subscriptions'!$B$7:$B$83,E100)&gt;0,COUNTIF('Current Subscriptions'!$C$7:$C$83,F100)&gt;0),"Yes","No")</x:f>
        <x:v>No</x:v>
      </x:c>
      <x:c r="H100" s="26" t="str">
        <x:v>33K views</x:v>
      </x:c>
      <x:c r="I100" s="26" t="str">
        <x:v>1 year ago</x:v>
      </x:c>
      <x:c r="J100" s="26" t="str">
        <x:v>16:12</x:v>
      </x:c>
      <x:c r="K100" s="96" t="str">
        <x:v>https://www.youtube.com/watch?v=WvKz0hBA5KE</x:v>
      </x:c>
      <x:c r="L100" s="96" t="str">
        <x:v>https://www.youtube.com/@FluentUFrench</x:v>
      </x:c>
    </x:row>
    <x:row r="101" ht="32" customHeight="1">
      <x:c r="A101" s="26" t="n">
        <x:v>95</x:v>
      </x:c>
      <x:c r="B101" s="26" t="str">
        <x:v>Video</x:v>
      </x:c>
      <x:c r="C101" s="27" t="str">
        <x:v>I was replaced by AI</x:v>
      </x:c>
      <x:c r="D101" t="str">
        <x:v>0Lo6MSGrxEA</x:v>
      </x:c>
      <x:c r="E101" t="str">
        <x:v>typecraft</x:v>
      </x:c>
      <x:c r="F101" t="str">
        <x:v>@typecraft_dev</x:v>
      </x:c>
      <x:c r="G101" s="26" t="str">
        <x:f>IF(OR(COUNTIF('Current Subscriptions'!$B$7:$B$83,E101)&gt;0,COUNTIF('Current Subscriptions'!$C$7:$C$83,F101)&gt;0),"Yes","No")</x:f>
        <x:v>No</x:v>
      </x:c>
      <x:c r="H101" s="26" t="str">
        <x:v>178K views</x:v>
      </x:c>
      <x:c r="I101" s="26" t="str">
        <x:v>3 weeks ago</x:v>
      </x:c>
      <x:c r="J101" s="26" t="str">
        <x:v>15:54</x:v>
      </x:c>
      <x:c r="K101" s="96" t="str">
        <x:v>https://www.youtube.com/watch?v=0Lo6MSGrxEA&amp;pp=ugUEEgJlbg%3D%3D</x:v>
      </x:c>
      <x:c r="L101" s="96" t="str">
        <x:v>https://www.youtube.com/@typecraft_dev</x:v>
      </x:c>
    </x:row>
    <x:row r="102" ht="32" customHeight="1">
      <x:c r="A102" s="26" t="n">
        <x:v>96</x:v>
      </x:c>
      <x:c r="B102" s="26" t="str">
        <x:v>Video</x:v>
      </x:c>
      <x:c r="C102" s="27" t="str">
        <x:v>Imaginal Disk Production Walkthrough Part 1</x:v>
      </x:c>
      <x:c r="D102" t="str">
        <x:v>XdQqHhsTcZY</x:v>
      </x:c>
      <x:c r="E102" t="str">
        <x:v>Magdalena Bay</x:v>
      </x:c>
      <x:c r="F102" t="str">
        <x:v>@MagdalenaBay</x:v>
      </x:c>
      <x:c r="G102" s="26" t="str">
        <x:f>IF(OR(COUNTIF('Current Subscriptions'!$B$7:$B$83,E102)&gt;0,COUNTIF('Current Subscriptions'!$C$7:$C$83,F102)&gt;0),"Yes","No")</x:f>
        <x:v>No</x:v>
      </x:c>
      <x:c r="H102" s="26" t="str">
        <x:v>55K views</x:v>
      </x:c>
      <x:c r="I102" s="26" t="str">
        <x:v>Streamed 18 hours ago</x:v>
      </x:c>
      <x:c r="J102" s="26" t="str">
        <x:v>4:24:28</x:v>
      </x:c>
      <x:c r="K102" s="96" t="str">
        <x:v>https://www.youtube.com/watch?v=XdQqHhsTcZY</x:v>
      </x:c>
      <x:c r="L102" s="96" t="str">
        <x:v>https://www.youtube.com/@MagdalenaBay</x:v>
      </x:c>
    </x:row>
    <x:row r="103" ht="32" customHeight="1">
      <x:c r="A103" s="26" t="n">
        <x:v>97</x:v>
      </x:c>
      <x:c r="B103" s="26" t="str">
        <x:v>Video</x:v>
      </x:c>
      <x:c r="C103" s="27" t="str">
        <x:v>summer lofi ☀️ chill beats to relax to</x:v>
      </x:c>
      <x:c r="D103" t="str">
        <x:v>XVFUtEh9zrY</x:v>
      </x:c>
      <x:c r="E103" t="str">
        <x:v>Lofi Girl</x:v>
      </x:c>
      <x:c r="F103" t="str">
        <x:v>@LofiGirl</x:v>
      </x:c>
      <x:c r="G103" s="26" t="str">
        <x:f>IF(OR(COUNTIF('Current Subscriptions'!$B$7:$B$83,E103)&gt;0,COUNTIF('Current Subscriptions'!$C$7:$C$83,F103)&gt;0),"Yes","No")</x:f>
        <x:v>No</x:v>
      </x:c>
      <x:c r="H103" s="26" t="str">
        <x:v>438K views</x:v>
      </x:c>
      <x:c r="I103" s="26" t="str">
        <x:v>1 month ago</x:v>
      </x:c>
      <x:c r="J103" s="26" t="str">
        <x:v>1:01:01</x:v>
      </x:c>
      <x:c r="K103" s="96" t="str">
        <x:v>https://www.youtube.com/watch?v=XVFUtEh9zrY</x:v>
      </x:c>
      <x:c r="L103" s="96" t="str">
        <x:v>https://www.youtube.com/@LofiGirl</x:v>
      </x:c>
    </x:row>
    <x:row r="104" ht="32" customHeight="1">
      <x:c r="A104" s="26" t="n">
        <x:v>98</x:v>
      </x:c>
      <x:c r="B104" s="26" t="str">
        <x:v>Video</x:v>
      </x:c>
      <x:c r="C104" s="27" t="str">
        <x:v>My Secular Buddhism</x:v>
      </x:c>
      <x:c r="D104" t="str">
        <x:v>yTxKgz8MeWg</x:v>
      </x:c>
      <x:c r="E104" t="str">
        <x:v>Doug's Dharma</x:v>
      </x:c>
      <x:c r="F104" t="str">
        <x:v>@DougsDharma</x:v>
      </x:c>
      <x:c r="G104" s="26" t="str">
        <x:f>IF(OR(COUNTIF('Current Subscriptions'!$B$7:$B$83,E104)&gt;0,COUNTIF('Current Subscriptions'!$C$7:$C$83,F104)&gt;0),"Yes","No")</x:f>
        <x:v>Yes</x:v>
      </x:c>
      <x:c r="H104" s="26" t="str">
        <x:v>29K views</x:v>
      </x:c>
      <x:c r="I104" s="26" t="str">
        <x:v>6 years ago</x:v>
      </x:c>
      <x:c r="J104" s="26" t="str">
        <x:v>20:00</x:v>
      </x:c>
      <x:c r="K104" s="96" t="str">
        <x:v>https://www.youtube.com/watch?v=yTxKgz8MeWg&amp;t=6s&amp;pp=ugUHEgVlbi1VUw%3D%3D</x:v>
      </x:c>
      <x:c r="L104" s="96" t="str">
        <x:v>https://www.youtube.com/@DougsDharma</x:v>
      </x:c>
    </x:row>
    <x:row r="105" ht="32" customHeight="1">
      <x:c r="A105" s="26" t="n">
        <x:v>99</x:v>
      </x:c>
      <x:c r="B105" s="26" t="str">
        <x:v>Video</x:v>
      </x:c>
      <x:c r="C105" s="27" t="str">
        <x:v>How French People Express Worry | Listen &amp; Repeat!</x:v>
      </x:c>
      <x:c r="D105" t="str">
        <x:v>QoMNRMcUv6o</x:v>
      </x:c>
      <x:c r="E105" t="str">
        <x:v>FRENCH TIME</x:v>
      </x:c>
      <x:c r="F105" t="str">
        <x:v>@FRENCHTIME2023</x:v>
      </x:c>
      <x:c r="G105" s="26" t="str">
        <x:f>IF(OR(COUNTIF('Current Subscriptions'!$B$7:$B$83,E105)&gt;0,COUNTIF('Current Subscriptions'!$C$7:$C$83,F105)&gt;0),"Yes","No")</x:f>
        <x:v>No</x:v>
      </x:c>
      <x:c r="H105" s="26" t="str">
        <x:v>1.1K views</x:v>
      </x:c>
      <x:c r="I105" s="26" t="str">
        <x:v>1 day ago</x:v>
      </x:c>
      <x:c r="J105" s="26" t="str">
        <x:v>8:28</x:v>
      </x:c>
      <x:c r="K105" s="96" t="str">
        <x:v>https://www.youtube.com/watch?v=QoMNRMcUv6o</x:v>
      </x:c>
      <x:c r="L105" s="96" t="str">
        <x:v>https://www.youtube.com/@FRENCHTIME2023</x:v>
      </x:c>
    </x:row>
    <x:row r="106" ht="32" customHeight="1">
      <x:c r="A106" s="26" t="n">
        <x:v>100</x:v>
      </x:c>
      <x:c r="B106" s="26" t="str">
        <x:v>Video</x:v>
      </x:c>
      <x:c r="C106" s="27" t="str">
        <x:v>Generations of Wi-Fi Have Led to This</x:v>
      </x:c>
      <x:c r="D106" t="str">
        <x:v>-soMNhNqEVc</x:v>
      </x:c>
      <x:c r="E106" t="str">
        <x:v>Data Slayer</x:v>
      </x:c>
      <x:c r="F106" t="str">
        <x:v>@DataSlayerMedia</x:v>
      </x:c>
      <x:c r="G106" s="26" t="str">
        <x:f>IF(OR(COUNTIF('Current Subscriptions'!$B$7:$B$83,E106)&gt;0,COUNTIF('Current Subscriptions'!$C$7:$C$83,F106)&gt;0),"Yes","No")</x:f>
        <x:v>No</x:v>
      </x:c>
      <x:c r="H106" s="26" t="str">
        <x:v>502K views</x:v>
      </x:c>
      <x:c r="I106" s="26" t="str">
        <x:v>7 months ago</x:v>
      </x:c>
      <x:c r="J106" s="26" t="str">
        <x:v>26:31</x:v>
      </x:c>
      <x:c r="K106" s="96" t="str">
        <x:v>https://www.youtube.com/watch?v=-soMNhNqEVc&amp;pp=ugUHEgVlbi1VUw%3D%3D</x:v>
      </x:c>
      <x:c r="L106" s="96" t="str">
        <x:v>https://www.youtube.com/@DataSlayerMedia</x:v>
      </x:c>
    </x:row>
    <x:row r="107" ht="32" customHeight="1">
      <x:c r="A107" s="26" t="n">
        <x:v>101</x:v>
      </x:c>
      <x:c r="B107" s="26" t="str">
        <x:v>Video</x:v>
      </x:c>
      <x:c r="C107" s="27" t="str">
        <x:v>You Are A Warrior Becoming A Champion: Strong Frequency Holder Merging With Your Higher Self</x:v>
      </x:c>
      <x:c r="D107" t="str">
        <x:v>iONG8uAJUYg</x:v>
      </x:c>
      <x:c r="E107" t="str">
        <x:v>Psychicjane</x:v>
      </x:c>
      <x:c r="F107" t="str">
        <x:v>@Psychicjane111</x:v>
      </x:c>
      <x:c r="G107" s="26" t="str">
        <x:f>IF(OR(COUNTIF('Current Subscriptions'!$B$7:$B$83,E107)&gt;0,COUNTIF('Current Subscriptions'!$C$7:$C$83,F107)&gt;0),"Yes","No")</x:f>
        <x:v>No</x:v>
      </x:c>
      <x:c r="H107" s="26" t="str">
        <x:v>1.5K views</x:v>
      </x:c>
      <x:c r="I107" s="26" t="str">
        <x:v>1 day ago</x:v>
      </x:c>
      <x:c r="J107" s="26" t="str">
        <x:v>59:02</x:v>
      </x:c>
      <x:c r="K107" s="96" t="str">
        <x:v>https://www.youtube.com/watch?v=iONG8uAJUYg</x:v>
      </x:c>
      <x:c r="L107" s="96" t="str">
        <x:v>https://www.youtube.com/@Psychicjane111</x:v>
      </x:c>
    </x:row>
    <x:row r="108" ht="32" customHeight="1">
      <x:c r="A108" s="26" t="n">
        <x:v>102</x:v>
      </x:c>
      <x:c r="B108" s="26" t="str">
        <x:v>Video</x:v>
      </x:c>
      <x:c r="C108" s="27" t="str">
        <x:v>How Toxic Mothers Hurt Their Sons for Life</x:v>
      </x:c>
      <x:c r="D108" t="str">
        <x:v>btgRMHZUVgY</x:v>
      </x:c>
      <x:c r="E108" t="str">
        <x:v>Patrick Teahan</x:v>
      </x:c>
      <x:c r="F108" t="str">
        <x:v>@patrickteahanofficial</x:v>
      </x:c>
      <x:c r="G108" s="26" t="str">
        <x:f>IF(OR(COUNTIF('Current Subscriptions'!$B$7:$B$83,E108)&gt;0,COUNTIF('Current Subscriptions'!$C$7:$C$83,F108)&gt;0),"Yes","No")</x:f>
        <x:v>No</x:v>
      </x:c>
      <x:c r="H108" s="26" t="str">
        <x:v>179K views</x:v>
      </x:c>
      <x:c r="I108" s="26" t="str">
        <x:v>1 year ago</x:v>
      </x:c>
      <x:c r="J108" s="26" t="str">
        <x:v>58:18</x:v>
      </x:c>
      <x:c r="K108" s="96" t="str">
        <x:v>https://www.youtube.com/watch?v=btgRMHZUVgY</x:v>
      </x:c>
      <x:c r="L108" s="96" t="str">
        <x:v>https://www.youtube.com/@patrickteahanofficial</x:v>
      </x:c>
    </x:row>
    <x:row r="109" ht="32" customHeight="1">
      <x:c r="A109" s="26" t="n">
        <x:v>103</x:v>
      </x:c>
      <x:c r="B109" s="26" t="str">
        <x:v>Video</x:v>
      </x:c>
      <x:c r="C109" s="27" t="str">
        <x:v>the second island | Sailing Locked (#2)</x:v>
      </x:c>
      <x:c r="D109" t="str">
        <x:v>BBlqpNlGgaQ</x:v>
      </x:c>
      <x:c r="E109" t="str">
        <x:v>Settled</x:v>
      </x:c>
      <x:c r="F109" t="str">
        <x:v>@Settledrs</x:v>
      </x:c>
      <x:c r="G109" s="26" t="str">
        <x:f>IF(OR(COUNTIF('Current Subscriptions'!$B$7:$B$83,E109)&gt;0,COUNTIF('Current Subscriptions'!$C$7:$C$83,F109)&gt;0),"Yes","No")</x:f>
        <x:v>No</x:v>
      </x:c>
      <x:c r="H109" s="26" t="str">
        <x:v>901K views</x:v>
      </x:c>
      <x:c r="I109" s="26" t="str">
        <x:v>8 months ago</x:v>
      </x:c>
      <x:c r="J109" s="26" t="str">
        <x:v>25:33</x:v>
      </x:c>
      <x:c r="K109" s="96" t="str">
        <x:v>https://www.youtube.com/watch?v=BBlqpNlGgaQ&amp;pp=ugUEEgJlbg%3D%3D</x:v>
      </x:c>
      <x:c r="L109" s="96" t="str">
        <x:v>https://www.youtube.com/@Settledrs</x:v>
      </x:c>
    </x:row>
    <x:row r="110" ht="32" customHeight="1">
      <x:c r="A110" s="26" t="n">
        <x:v>104</x:v>
      </x:c>
      <x:c r="B110" s="26" t="str">
        <x:v>Video</x:v>
      </x:c>
      <x:c r="C110" s="27" t="str">
        <x:v>What the "Shower Test" Says About Your Life - Jimmy Carr</x:v>
      </x:c>
      <x:c r="D110" t="str">
        <x:v>2CIz-P3kIUM</x:v>
      </x:c>
      <x:c r="E110" t="str">
        <x:v>Chris Williamson</x:v>
      </x:c>
      <x:c r="F110" t="str">
        <x:v>@ChrisWillx</x:v>
      </x:c>
      <x:c r="G110" s="26" t="str">
        <x:f>IF(OR(COUNTIF('Current Subscriptions'!$B$7:$B$83,E110)&gt;0,COUNTIF('Current Subscriptions'!$C$7:$C$83,F110)&gt;0),"Yes","No")</x:f>
        <x:v>No</x:v>
      </x:c>
      <x:c r="H110" s="26" t="str">
        <x:v>1.6M views</x:v>
      </x:c>
      <x:c r="I110" s="26" t="str">
        <x:v>1 year ago</x:v>
      </x:c>
      <x:c r="J110" s="26" t="str">
        <x:v>11:24</x:v>
      </x:c>
      <x:c r="K110" s="96" t="str">
        <x:v>https://www.youtube.com/watch?v=2CIz-P3kIUM&amp;pp=ugUHEgVlbi1HQtIHCQkTDAGHKiGM7w%3D%3D</x:v>
      </x:c>
      <x:c r="L110" s="96" t="str">
        <x:v>https://www.youtube.com/@ChrisWillx</x:v>
      </x:c>
    </x:row>
    <x:row r="111" ht="32" customHeight="1">
      <x:c r="A111" s="26" t="n">
        <x:v>105</x:v>
      </x:c>
      <x:c r="B111" s="26" t="str">
        <x:v>Mix</x:v>
      </x:c>
      <x:c r="C111" s="27" t="str">
        <x:v>Intro to Secular Buddhism</x:v>
      </x:c>
      <x:c r="D111" t="str">
        <x:v>UtRk4qD8a-0</x:v>
      </x:c>
      <x:c r="E111" t="str">
        <x:v>Doug's Dharma</x:v>
      </x:c>
      <x:c r="F111" t="str">
        <x:v>@DougsDharma</x:v>
      </x:c>
      <x:c r="G111" s="26" t="str">
        <x:f>IF(OR(COUNTIF('Current Subscriptions'!$B$7:$B$83,E111)&gt;0,COUNTIF('Current Subscriptions'!$C$7:$C$83,F111)&gt;0),"Yes","No")</x:f>
        <x:v>Yes</x:v>
      </x:c>
      <x:c r="H111" s="26" t="str"/>
      <x:c r="I111" s="26" t="str"/>
      <x:c r="J111" s="26" t="str"/>
      <x:c r="K111" s="96" t="str">
        <x:v>https://www.youtube.com/watch?v=UtRk4qD8a-0&amp;list=PL0akoU_OszRjx0lEV_Bre693AvHWrk-Kp&amp;pp=0gcJCf4COCosWNin</x:v>
      </x:c>
      <x:c r="L111" s="96" t="str">
        <x:v>https://www.youtube.com/@DougsDharma</x:v>
      </x:c>
    </x:row>
    <x:row r="112" ht="32" customHeight="1">
      <x:c r="A112" s="26" t="n">
        <x:v>106</x:v>
      </x:c>
      <x:c r="B112" s="26" t="str">
        <x:v>Video</x:v>
      </x:c>
      <x:c r="C112" s="27" t="str">
        <x:v>we´ll be okay - Soft Guitar Meditations (40 mins)</x:v>
      </x:c>
      <x:c r="D112" t="str">
        <x:v>m8wBqPCqWjU</x:v>
      </x:c>
      <x:c r="E112" t="str">
        <x:v>dwaler</x:v>
      </x:c>
      <x:c r="F112" t="str">
        <x:v>@dwalermusic</x:v>
      </x:c>
      <x:c r="G112" s="26" t="str">
        <x:f>IF(OR(COUNTIF('Current Subscriptions'!$B$7:$B$83,E112)&gt;0,COUNTIF('Current Subscriptions'!$C$7:$C$83,F112)&gt;0),"Yes","No")</x:f>
        <x:v>No</x:v>
      </x:c>
      <x:c r="H112" s="26" t="str">
        <x:v>1.1M views</x:v>
      </x:c>
      <x:c r="I112" s="26" t="str">
        <x:v>9 months ago</x:v>
      </x:c>
      <x:c r="J112" s="26" t="str">
        <x:v>40:57</x:v>
      </x:c>
      <x:c r="K112" s="96" t="str">
        <x:v>https://www.youtube.com/watch?v=m8wBqPCqWjU</x:v>
      </x:c>
      <x:c r="L112" s="96" t="str">
        <x:v>https://www.youtube.com/@dwalermusic</x:v>
      </x:c>
    </x:row>
    <x:row r="113" ht="32" customHeight="1">
      <x:c r="A113" s="26" t="n">
        <x:v>107</x:v>
      </x:c>
      <x:c r="B113" s="26" t="str">
        <x:v>Video</x:v>
      </x:c>
      <x:c r="C113" s="27" t="str">
        <x:v>Making an apple that tastes like anything</x:v>
      </x:c>
      <x:c r="D113" t="str">
        <x:v>jktuzvxRSNE</x:v>
      </x:c>
      <x:c r="E113" t="str">
        <x:v>NileBlue</x:v>
      </x:c>
      <x:c r="F113" t="str">
        <x:v>@NileBlue</x:v>
      </x:c>
      <x:c r="G113" s="26" t="str">
        <x:f>IF(OR(COUNTIF('Current Subscriptions'!$B$7:$B$83,E113)&gt;0,COUNTIF('Current Subscriptions'!$C$7:$C$83,F113)&gt;0),"Yes","No")</x:f>
        <x:v>No</x:v>
      </x:c>
      <x:c r="H113" s="26" t="str">
        <x:v>4.4M views</x:v>
      </x:c>
      <x:c r="I113" s="26" t="str">
        <x:v>8 months ago</x:v>
      </x:c>
      <x:c r="J113" s="26" t="str">
        <x:v>36:41</x:v>
      </x:c>
      <x:c r="K113" s="96" t="str">
        <x:v>https://www.youtube.com/watch?v=jktuzvxRSNE</x:v>
      </x:c>
      <x:c r="L113" s="96" t="str">
        <x:v>https://www.youtube.com/@NileBlue</x:v>
      </x:c>
    </x:row>
    <x:row r="114" ht="32" customHeight="1">
      <x:c r="A114" s="26" t="n">
        <x:v>108</x:v>
      </x:c>
      <x:c r="B114" s="26" t="str">
        <x:v>Video</x:v>
      </x:c>
      <x:c r="C114" s="27" t="str">
        <x:v>im shocked more people aren't talking about this</x:v>
      </x:c>
      <x:c r="D114" t="str">
        <x:v>L2ehWbxphKc</x:v>
      </x:c>
      <x:c r="E114" t="str">
        <x:v>Low Level</x:v>
      </x:c>
      <x:c r="F114" t="str">
        <x:v>@LowLevelTV</x:v>
      </x:c>
      <x:c r="G114" s="26" t="str">
        <x:f>IF(OR(COUNTIF('Current Subscriptions'!$B$7:$B$83,E114)&gt;0,COUNTIF('Current Subscriptions'!$C$7:$C$83,F114)&gt;0),"Yes","No")</x:f>
        <x:v>No</x:v>
      </x:c>
      <x:c r="H114" s="26" t="str">
        <x:v>222K views</x:v>
      </x:c>
      <x:c r="I114" s="26" t="str">
        <x:v>6 days ago</x:v>
      </x:c>
      <x:c r="J114" s="26" t="str">
        <x:v>11:50</x:v>
      </x:c>
      <x:c r="K114" s="96" t="str">
        <x:v>https://www.youtube.com/watch?v=L2ehWbxphKc</x:v>
      </x:c>
      <x:c r="L114" s="96" t="str">
        <x:v>https://www.youtube.com/@LowLevelTV</x:v>
      </x:c>
    </x:row>
    <x:row r="115" ht="32" customHeight="1">
      <x:c r="A115" s="26" t="n">
        <x:v>109</x:v>
      </x:c>
      <x:c r="B115" s="26" t="str">
        <x:v>Video</x:v>
      </x:c>
      <x:c r="C115" s="27" t="str">
        <x:v>30 Minutes of Streamers React to GE vs KRX CRAZY Moments in VCT Pacific Stage 2</x:v>
      </x:c>
      <x:c r="D115" t="str">
        <x:v>MFY3Xhfs1Ck</x:v>
      </x:c>
      <x:c r="E115" t="str">
        <x:v>Valorant Repack</x:v>
      </x:c>
      <x:c r="F115" t="str">
        <x:v>@ValorantRepack</x:v>
      </x:c>
      <x:c r="G115" s="26" t="str">
        <x:f>IF(OR(COUNTIF('Current Subscriptions'!$B$7:$B$83,E115)&gt;0,COUNTIF('Current Subscriptions'!$C$7:$C$83,F115)&gt;0),"Yes","No")</x:f>
        <x:v>No</x:v>
      </x:c>
      <x:c r="H115" s="26" t="str">
        <x:v>6.4K views</x:v>
      </x:c>
      <x:c r="I115" s="26" t="str">
        <x:v>6 hours ago</x:v>
      </x:c>
      <x:c r="J115" s="26" t="str">
        <x:v>31:49</x:v>
      </x:c>
      <x:c r="K115" s="96" t="str">
        <x:v>https://www.youtube.com/watch?v=MFY3Xhfs1Ck</x:v>
      </x:c>
      <x:c r="L115" s="96" t="str">
        <x:v>https://www.youtube.com/@ValorantRepack</x:v>
      </x:c>
    </x:row>
    <x:row r="116" ht="32" customHeight="1">
      <x:c r="A116" s="26" t="n">
        <x:v>110</x:v>
      </x:c>
      <x:c r="B116" s="26" t="str">
        <x:v>Video</x:v>
      </x:c>
      <x:c r="C116" s="27" t="str">
        <x:v>I read Elizabeth Gilbert's new book about her plot to k*ll her gf so you don't have to.</x:v>
      </x:c>
      <x:c r="D116" t="str">
        <x:v>fsP41-iIysQ</x:v>
      </x:c>
      <x:c r="E116" t="str">
        <x:v>Siobhan Brier Aguilar</x:v>
      </x:c>
      <x:c r="F116" t="str">
        <x:v>@SiobhanBrierAguilar</x:v>
      </x:c>
      <x:c r="G116" s="26" t="str">
        <x:f>IF(OR(COUNTIF('Current Subscriptions'!$B$7:$B$83,E116)&gt;0,COUNTIF('Current Subscriptions'!$C$7:$C$83,F116)&gt;0),"Yes","No")</x:f>
        <x:v>No</x:v>
      </x:c>
      <x:c r="H116" s="26" t="str">
        <x:v>552K views</x:v>
      </x:c>
      <x:c r="I116" s="26" t="str">
        <x:v>8 months ago</x:v>
      </x:c>
      <x:c r="J116" s="26" t="str">
        <x:v>2:02:51</x:v>
      </x:c>
      <x:c r="K116" s="96" t="str">
        <x:v>https://www.youtube.com/watch?v=fsP41-iIysQ</x:v>
      </x:c>
      <x:c r="L116" s="96" t="str">
        <x:v>https://www.youtube.com/@SiobhanBrierAguilar</x:v>
      </x:c>
    </x:row>
    <x:row r="117" ht="32" customHeight="1">
      <x:c r="A117" s="26" t="n">
        <x:v>111</x:v>
      </x:c>
      <x:c r="B117" s="26" t="str">
        <x:v>Video</x:v>
      </x:c>
      <x:c r="C117" s="27" t="str">
        <x:v>This Device Goes Past Equilibrium</x:v>
      </x:c>
      <x:c r="D117" t="str">
        <x:v>NvkZaWLe0Sk</x:v>
      </x:c>
      <x:c r="E117" t="str">
        <x:v>Steve Mould</x:v>
      </x:c>
      <x:c r="F117" t="str">
        <x:v>@SteveMould</x:v>
      </x:c>
      <x:c r="G117" s="26" t="str">
        <x:f>IF(OR(COUNTIF('Current Subscriptions'!$B$7:$B$83,E117)&gt;0,COUNTIF('Current Subscriptions'!$C$7:$C$83,F117)&gt;0),"Yes","No")</x:f>
        <x:v>No</x:v>
      </x:c>
      <x:c r="H117" s="26" t="str">
        <x:v>863K views</x:v>
      </x:c>
      <x:c r="I117" s="26" t="str">
        <x:v>4 days ago</x:v>
      </x:c>
      <x:c r="J117" s="26" t="str">
        <x:v>13:23</x:v>
      </x:c>
      <x:c r="K117" s="96" t="str">
        <x:v>https://www.youtube.com/watch?v=NvkZaWLe0Sk&amp;pp=ugUEEgJlbg%3D%3D</x:v>
      </x:c>
      <x:c r="L117" s="96" t="str">
        <x:v>https://www.youtube.com/@SteveMould</x:v>
      </x:c>
    </x:row>
    <x:row r="118" ht="32" customHeight="1">
      <x:c r="A118" s="26" t="n">
        <x:v>112</x:v>
      </x:c>
      <x:c r="B118" s="26" t="str">
        <x:v>Video</x:v>
      </x:c>
      <x:c r="C118" s="27" t="str">
        <x:v>Creating anything you want in life is literally effortless.</x:v>
      </x:c>
      <x:c r="D118" t="str">
        <x:v>2OcbNmny7Z0</x:v>
      </x:c>
      <x:c r="E118" t="str">
        <x:v>Saja Fendél</x:v>
      </x:c>
      <x:c r="F118" t="str">
        <x:v>@sajafendel</x:v>
      </x:c>
      <x:c r="G118" s="26" t="str">
        <x:f>IF(OR(COUNTIF('Current Subscriptions'!$B$7:$B$83,E118)&gt;0,COUNTIF('Current Subscriptions'!$C$7:$C$83,F118)&gt;0),"Yes","No")</x:f>
        <x:v>No</x:v>
      </x:c>
      <x:c r="H118" s="26" t="str">
        <x:v>1.6K views</x:v>
      </x:c>
      <x:c r="I118" s="26" t="str">
        <x:v>1 day ago</x:v>
      </x:c>
      <x:c r="J118" s="26" t="str">
        <x:v>10:35</x:v>
      </x:c>
      <x:c r="K118" s="96" t="str">
        <x:v>https://www.youtube.com/watch?v=2OcbNmny7Z0&amp;pp=0gcJCRMMAYcqIYzv</x:v>
      </x:c>
      <x:c r="L118" s="96" t="str">
        <x:v>https://www.youtube.com/@sajafendel</x:v>
      </x:c>
    </x:row>
    <x:row r="119" ht="32" customHeight="1">
      <x:c r="A119" s="26" t="n">
        <x:v>113</x:v>
      </x:c>
      <x:c r="B119" s="26" t="str">
        <x:v>Mix</x:v>
      </x:c>
      <x:c r="C119" s="27" t="str">
        <x:v>Mix - Taylor Swift - Fortnight (feat. Post Malone) (Official Music Video)</x:v>
      </x:c>
      <x:c r="D119" t="str">
        <x:v>q3zqJs7JUCQ</x:v>
      </x:c>
      <x:c r="E119" t="str">
        <x:v>Taylor Swift</x:v>
      </x:c>
      <x:c r="F119" t="str">
        <x:v>@TaylorSwift</x:v>
      </x:c>
      <x:c r="G119" s="26" t="str">
        <x:f>IF(OR(COUNTIF('Current Subscriptions'!$B$7:$B$83,E119)&gt;0,COUNTIF('Current Subscriptions'!$C$7:$C$83,F119)&gt;0),"Yes","No")</x:f>
        <x:v>No</x:v>
      </x:c>
      <x:c r="H119" s="26" t="str"/>
      <x:c r="I119" s="26" t="str"/>
      <x:c r="J119" s="26" t="str"/>
      <x:c r="K119" s="96" t="str">
        <x:v>https://www.youtube.com/watch?v=q3zqJs7JUCQ&amp;list=RDq3zqJs7JUCQ&amp;start_radio=1</x:v>
      </x:c>
      <x:c r="L119" s="96" t="str">
        <x:v>https://www.youtube.com/@TaylorSwift</x:v>
      </x:c>
    </x:row>
    <x:row r="120" ht="32" customHeight="1">
      <x:c r="A120" s="26" t="n">
        <x:v>114</x:v>
      </x:c>
      <x:c r="B120" s="26" t="str">
        <x:v>Video</x:v>
      </x:c>
      <x:c r="C120" s="27" t="str">
        <x:v>The Simple Trick to Stop Caring What People Think</x:v>
      </x:c>
      <x:c r="D120" t="str">
        <x:v>dUHL5aj2SN4</x:v>
      </x:c>
      <x:c r="E120" t="str">
        <x:v>Casey Simpson</x:v>
      </x:c>
      <x:c r="F120" t="str">
        <x:v>@caseysimpsonchannel</x:v>
      </x:c>
      <x:c r="G120" s="26" t="str">
        <x:f>IF(OR(COUNTIF('Current Subscriptions'!$B$7:$B$83,E120)&gt;0,COUNTIF('Current Subscriptions'!$C$7:$C$83,F120)&gt;0),"Yes","No")</x:f>
        <x:v>No</x:v>
      </x:c>
      <x:c r="H120" s="26" t="str">
        <x:v>37K views</x:v>
      </x:c>
      <x:c r="I120" s="26" t="str">
        <x:v>1 day ago</x:v>
      </x:c>
      <x:c r="J120" s="26" t="str">
        <x:v>34:46</x:v>
      </x:c>
      <x:c r="K120" s="96" t="str">
        <x:v>https://www.youtube.com/watch?v=dUHL5aj2SN4&amp;pp=ugUEEgJlbg%3D%3D</x:v>
      </x:c>
      <x:c r="L120" s="96" t="str">
        <x:v>https://www.youtube.com/@caseysimpsonchannel</x:v>
      </x:c>
    </x:row>
    <x:row r="121" ht="32" customHeight="1">
      <x:c r="A121" s="26" t="n">
        <x:v>115</x:v>
      </x:c>
      <x:c r="B121" s="26" t="str">
        <x:v>Video</x:v>
      </x:c>
      <x:c r="C121" s="27" t="str">
        <x:v>Everything Will Be Okay - Non AI LoFi for Study &amp; Focus</x:v>
      </x:c>
      <x:c r="D121" t="str">
        <x:v>OMfh8vgeSq0</x:v>
      </x:c>
      <x:c r="E121" t="str">
        <x:v>Yellow Cherry Jam</x:v>
      </x:c>
      <x:c r="F121" t="str">
        <x:v>@yellowcherry_jam</x:v>
      </x:c>
      <x:c r="G121" s="26" t="str">
        <x:f>IF(OR(COUNTIF('Current Subscriptions'!$B$7:$B$83,E121)&gt;0,COUNTIF('Current Subscriptions'!$C$7:$C$83,F121)&gt;0),"Yes","No")</x:f>
        <x:v>No</x:v>
      </x:c>
      <x:c r="H121" s="26" t="str">
        <x:v>142K views</x:v>
      </x:c>
      <x:c r="I121" s="26" t="str">
        <x:v>6 months ago</x:v>
      </x:c>
      <x:c r="J121" s="26" t="str">
        <x:v>1:02:23</x:v>
      </x:c>
      <x:c r="K121" s="96" t="str">
        <x:v>https://www.youtube.com/watch?v=OMfh8vgeSq0</x:v>
      </x:c>
      <x:c r="L121" s="96" t="str">
        <x:v>https://www.youtube.com/@yellowcherry_jam</x:v>
      </x:c>
    </x:row>
    <x:row r="122" ht="32" customHeight="1">
      <x:c r="A122" s="26" t="n">
        <x:v>116</x:v>
      </x:c>
      <x:c r="B122" s="26" t="str">
        <x:v>Video</x:v>
      </x:c>
      <x:c r="C122" s="27" t="str">
        <x:v>How I use Coding To Save Time IRL</x:v>
      </x:c>
      <x:c r="D122" t="str">
        <x:v>83dWSrfX1zY</x:v>
      </x:c>
      <x:c r="E122" t="str">
        <x:v>Leverage In Action</x:v>
      </x:c>
      <x:c r="F122" t="str">
        <x:v>@LeverageInAction</x:v>
      </x:c>
      <x:c r="G122" s="26" t="str">
        <x:f>IF(OR(COUNTIF('Current Subscriptions'!$B$7:$B$83,E122)&gt;0,COUNTIF('Current Subscriptions'!$C$7:$C$83,F122)&gt;0),"Yes","No")</x:f>
        <x:v>No</x:v>
      </x:c>
      <x:c r="H122" s="26" t="str">
        <x:v>69K views</x:v>
      </x:c>
      <x:c r="I122" s="26" t="str">
        <x:v>1 month ago</x:v>
      </x:c>
      <x:c r="J122" s="26" t="str">
        <x:v>14:20</x:v>
      </x:c>
      <x:c r="K122" s="96" t="str">
        <x:v>https://www.youtube.com/watch?v=83dWSrfX1zY&amp;pp=ugUEEgJlbg%3D%3D</x:v>
      </x:c>
      <x:c r="L122" s="96" t="str">
        <x:v>https://www.youtube.com/@LeverageInAction</x:v>
      </x:c>
    </x:row>
    <x:row r="123" ht="32" customHeight="1">
      <x:c r="A123" s="26" t="n">
        <x:v>117</x:v>
      </x:c>
      <x:c r="B123" s="26" t="str">
        <x:v>Video</x:v>
      </x:c>
      <x:c r="C123" s="27" t="str">
        <x:v>Tips for C Programming</x:v>
      </x:c>
      <x:c r="D123" t="str">
        <x:v>9UIIMBqq1D4</x:v>
      </x:c>
      <x:c r="E123" t="str">
        <x:v>Nic Barker</x:v>
      </x:c>
      <x:c r="F123" t="str">
        <x:v>@nicbarkeragain</x:v>
      </x:c>
      <x:c r="G123" s="26" t="str">
        <x:f>IF(OR(COUNTIF('Current Subscriptions'!$B$7:$B$83,E123)&gt;0,COUNTIF('Current Subscriptions'!$C$7:$C$83,F123)&gt;0),"Yes","No")</x:f>
        <x:v>No</x:v>
      </x:c>
      <x:c r="H123" s="26" t="str">
        <x:v>436K views</x:v>
      </x:c>
      <x:c r="I123" s="26" t="str">
        <x:v>1 year ago</x:v>
      </x:c>
      <x:c r="J123" s="26" t="str">
        <x:v>34:41</x:v>
      </x:c>
      <x:c r="K123" s="96" t="str">
        <x:v>https://www.youtube.com/watch?v=9UIIMBqq1D4</x:v>
      </x:c>
      <x:c r="L123" s="96" t="str">
        <x:v>https://www.youtube.com/@nicbarkeragain</x:v>
      </x:c>
    </x:row>
    <x:row r="124" ht="32" customHeight="1">
      <x:c r="A124" s="26" t="n">
        <x:v>118</x:v>
      </x:c>
      <x:c r="B124" s="26" t="str">
        <x:v>Video</x:v>
      </x:c>
      <x:c r="C124" s="27" t="str">
        <x:v>Jonathan Blow on AI for programming</x:v>
      </x:c>
      <x:c r="D124" t="str">
        <x:v>WC3rhR48hLE</x:v>
      </x:c>
      <x:c r="E124" t="str">
        <x:v>Jonathan Blow highlights</x:v>
      </x:c>
      <x:c r="F124" t="str">
        <x:v>@JBH-p5b</x:v>
      </x:c>
      <x:c r="G124" s="26" t="str">
        <x:f>IF(OR(COUNTIF('Current Subscriptions'!$B$7:$B$83,E124)&gt;0,COUNTIF('Current Subscriptions'!$C$7:$C$83,F124)&gt;0),"Yes","No")</x:f>
        <x:v>No</x:v>
      </x:c>
      <x:c r="H124" s="26" t="str">
        <x:v>64K views</x:v>
      </x:c>
      <x:c r="I124" s="26" t="str">
        <x:v>3 months ago</x:v>
      </x:c>
      <x:c r="J124" s="26" t="str">
        <x:v>12:48</x:v>
      </x:c>
      <x:c r="K124" s="96" t="str">
        <x:v>https://www.youtube.com/watch?v=WC3rhR48hLE&amp;pp=ugUEEgJlbg%3D%3D</x:v>
      </x:c>
      <x:c r="L124" s="96" t="str">
        <x:v>https://www.youtube.com/@JBH-p5b</x:v>
      </x:c>
    </x:row>
    <x:row r="125" ht="32" customHeight="1">
      <x:c r="A125" s="26" t="n">
        <x:v>119</x:v>
      </x:c>
      <x:c r="B125" s="26" t="str">
        <x:v>Video</x:v>
      </x:c>
      <x:c r="C125" s="27" t="str">
        <x:v>Investigating the Cause of a Wild Fire</x:v>
      </x:c>
      <x:c r="D125" t="str">
        <x:v>7fIr5O_kCwE</x:v>
      </x:c>
      <x:c r="E125" t="str">
        <x:v>Cody'sLab</x:v>
      </x:c>
      <x:c r="F125" t="str">
        <x:v>@theCodyReeder</x:v>
      </x:c>
      <x:c r="G125" s="26" t="str">
        <x:f>IF(OR(COUNTIF('Current Subscriptions'!$B$7:$B$83,E125)&gt;0,COUNTIF('Current Subscriptions'!$C$7:$C$83,F125)&gt;0),"Yes","No")</x:f>
        <x:v>No</x:v>
      </x:c>
      <x:c r="H125" s="26" t="str">
        <x:v>247K views</x:v>
      </x:c>
      <x:c r="I125" s="26" t="str">
        <x:v>1 month ago</x:v>
      </x:c>
      <x:c r="J125" s="26" t="str">
        <x:v>10:54</x:v>
      </x:c>
      <x:c r="K125" s="96" t="str">
        <x:v>https://www.youtube.com/watch?v=7fIr5O_kCwE&amp;pp=ugUEEgJlbg%3D%3D</x:v>
      </x:c>
      <x:c r="L125" s="96" t="str">
        <x:v>https://www.youtube.com/@theCodyReeder</x:v>
      </x:c>
    </x:row>
    <x:row r="126" ht="32" customHeight="1">
      <x:c r="A126" s="26" t="n">
        <x:v>120</x:v>
      </x:c>
      <x:c r="B126" s="26" t="str">
        <x:v>Video</x:v>
      </x:c>
      <x:c r="C126" s="27" t="str">
        <x:v>Cozy Non-AI Lofi Session by the Garden Stream 🍀 Human-Made Beats for Deep Focus</x:v>
      </x:c>
      <x:c r="D126" t="str">
        <x:v>WB6fg6e9o8I</x:v>
      </x:c>
      <x:c r="E126" t="str">
        <x:v>Yellow Cherry Jam</x:v>
      </x:c>
      <x:c r="F126" t="str">
        <x:v>@yellowcherry_jam</x:v>
      </x:c>
      <x:c r="G126" s="26" t="str">
        <x:f>IF(OR(COUNTIF('Current Subscriptions'!$B$7:$B$83,E126)&gt;0,COUNTIF('Current Subscriptions'!$C$7:$C$83,F126)&gt;0),"Yes","No")</x:f>
        <x:v>No</x:v>
      </x:c>
      <x:c r="H126" s="26" t="str">
        <x:v>150K views</x:v>
      </x:c>
      <x:c r="I126" s="26" t="str">
        <x:v>3 months ago</x:v>
      </x:c>
      <x:c r="J126" s="26" t="str">
        <x:v>1:02:40</x:v>
      </x:c>
      <x:c r="K126" s="96" t="str">
        <x:v>https://www.youtube.com/watch?v=WB6fg6e9o8I&amp;pp=0gcJCRMMAYcqIYzv</x:v>
      </x:c>
      <x:c r="L126" s="96" t="str">
        <x:v>https://www.youtube.com/@yellowcherry_jam</x:v>
      </x:c>
    </x:row>
    <x:row r="127" ht="32" customHeight="1">
      <x:c r="A127" s="26" t="n">
        <x:v>121</x:v>
      </x:c>
      <x:c r="B127" s="26" t="str">
        <x:v>Video</x:v>
      </x:c>
      <x:c r="C127" s="27" t="str">
        <x:v>C Programming and Memory Management - Full Course</x:v>
      </x:c>
      <x:c r="D127" t="str">
        <x:v>rJrd2QMVbGM</x:v>
      </x:c>
      <x:c r="E127" t="str">
        <x:v>Boot dev</x:v>
      </x:c>
      <x:c r="F127" t="str">
        <x:v>@bootdotdev</x:v>
      </x:c>
      <x:c r="G127" s="26" t="str">
        <x:f>IF(OR(COUNTIF('Current Subscriptions'!$B$7:$B$83,E127)&gt;0,COUNTIF('Current Subscriptions'!$C$7:$C$83,F127)&gt;0),"Yes","No")</x:f>
        <x:v>No</x:v>
      </x:c>
      <x:c r="H127" s="26" t="str">
        <x:v>440K views</x:v>
      </x:c>
      <x:c r="I127" s="26" t="str">
        <x:v>1 year ago</x:v>
      </x:c>
      <x:c r="J127" s="26" t="str">
        <x:v>4:43:48</x:v>
      </x:c>
      <x:c r="K127" s="96" t="str">
        <x:v>https://www.youtube.com/watch?v=rJrd2QMVbGM</x:v>
      </x:c>
      <x:c r="L127" s="96" t="str">
        <x:v>https://www.youtube.com/@bootdotdev</x:v>
      </x:c>
    </x:row>
    <x:row r="128" ht="32" customHeight="1">
      <x:c r="A128" s="26" t="n">
        <x:v>122</x:v>
      </x:c>
      <x:c r="B128" s="26" t="str">
        <x:v>Video</x:v>
      </x:c>
      <x:c r="C128" s="27" t="str">
        <x:v>Tottomori ~ Dream Merchant [Full Album] (Imaginary Game Soundtrack)</x:v>
      </x:c>
      <x:c r="D128" t="str">
        <x:v>WSXX4wN7UkU</x:v>
      </x:c>
      <x:c r="E128" t="str">
        <x:v>Tottomori</x:v>
      </x:c>
      <x:c r="F128" t="str">
        <x:v>@tottomori</x:v>
      </x:c>
      <x:c r="G128" s="26" t="str">
        <x:f>IF(OR(COUNTIF('Current Subscriptions'!$B$7:$B$83,E128)&gt;0,COUNTIF('Current Subscriptions'!$C$7:$C$83,F128)&gt;0),"Yes","No")</x:f>
        <x:v>No</x:v>
      </x:c>
      <x:c r="H128" s="26" t="str">
        <x:v>329K views</x:v>
      </x:c>
      <x:c r="I128" s="26" t="str">
        <x:v>2 years ago</x:v>
      </x:c>
      <x:c r="J128" s="26" t="str">
        <x:v>40:28</x:v>
      </x:c>
      <x:c r="K128" s="96" t="str">
        <x:v>https://www.youtube.com/watch?v=WSXX4wN7UkU</x:v>
      </x:c>
      <x:c r="L128" s="96" t="str">
        <x:v>https://www.youtube.com/@tottomori</x:v>
      </x:c>
    </x:row>
    <x:row r="129" ht="32" customHeight="1">
      <x:c r="A129" s="26" t="n">
        <x:v>123</x:v>
      </x:c>
      <x:c r="B129" s="26" t="str">
        <x:v>Video</x:v>
      </x:c>
      <x:c r="C129" s="27" t="str">
        <x:v>Do This Before You Solder Anything</x:v>
      </x:c>
      <x:c r="D129" t="str">
        <x:v>jz67KgHzXVw</x:v>
      </x:c>
      <x:c r="E129" t="str">
        <x:v>StuckAtPrototype</x:v>
      </x:c>
      <x:c r="F129" t="str">
        <x:v>@stuckatprototype</x:v>
      </x:c>
      <x:c r="G129" s="26" t="str">
        <x:f>IF(OR(COUNTIF('Current Subscriptions'!$B$7:$B$83,E129)&gt;0,COUNTIF('Current Subscriptions'!$C$7:$C$83,F129)&gt;0),"Yes","No")</x:f>
        <x:v>No</x:v>
      </x:c>
      <x:c r="H129" s="26" t="str">
        <x:v>1.1M views</x:v>
      </x:c>
      <x:c r="I129" s="26" t="str">
        <x:v>11 months ago</x:v>
      </x:c>
      <x:c r="J129" s="26" t="str">
        <x:v>12:00</x:v>
      </x:c>
      <x:c r="K129" s="96" t="str">
        <x:v>https://www.youtube.com/watch?v=jz67KgHzXVw</x:v>
      </x:c>
      <x:c r="L129" s="96" t="str">
        <x:v>https://www.youtube.com/@stuckatprototype</x:v>
      </x:c>
    </x:row>
    <x:row r="130" ht="32" customHeight="1">
      <x:c r="A130" s="26" t="n">
        <x:v>124</x:v>
      </x:c>
      <x:c r="B130" s="26" t="str">
        <x:v>Video</x:v>
      </x:c>
      <x:c r="C130" s="27" t="str">
        <x:v>This was never a good deal.</x:v>
      </x:c>
      <x:c r="D130" t="str">
        <x:v>53AkaYvw63U</x:v>
      </x:c>
      <x:c r="E130" t="str">
        <x:v>Jeff Geerling</x:v>
      </x:c>
      <x:c r="F130" t="str">
        <x:v>@JeffGeerling</x:v>
      </x:c>
      <x:c r="G130" s="26" t="str">
        <x:f>IF(OR(COUNTIF('Current Subscriptions'!$B$7:$B$83,E130)&gt;0,COUNTIF('Current Subscriptions'!$C$7:$C$83,F130)&gt;0),"Yes","No")</x:f>
        <x:v>No</x:v>
      </x:c>
      <x:c r="H130" s="26" t="str">
        <x:v>387K views</x:v>
      </x:c>
      <x:c r="I130" s="26" t="str">
        <x:v>3 weeks ago</x:v>
      </x:c>
      <x:c r="J130" s="26" t="str">
        <x:v>7:52</x:v>
      </x:c>
      <x:c r="K130" s="96" t="str">
        <x:v>https://www.youtube.com/watch?v=53AkaYvw63U</x:v>
      </x:c>
      <x:c r="L130" s="96" t="str">
        <x:v>https://www.youtube.com/@JeffGeerling</x:v>
      </x:c>
    </x:row>
    <x:row r="131" ht="32" customHeight="1">
      <x:c r="A131" s="26" t="n">
        <x:v>125</x:v>
      </x:c>
      <x:c r="B131" s="26" t="str">
        <x:v>Video</x:v>
      </x:c>
      <x:c r="C131" s="27" t="str">
        <x:v>we play summer lofi for calm and stress relief at a cozy terrace 🌳🐾</x:v>
      </x:c>
      <x:c r="D131" t="str">
        <x:v>vwvCE5OB3W4</x:v>
      </x:c>
      <x:c r="E131" t="str">
        <x:v>Yellow Cherry Jam</x:v>
      </x:c>
      <x:c r="F131" t="str">
        <x:v>@yellowcherry_jam</x:v>
      </x:c>
      <x:c r="G131" s="26" t="str">
        <x:f>IF(OR(COUNTIF('Current Subscriptions'!$B$7:$B$83,E131)&gt;0,COUNTIF('Current Subscriptions'!$C$7:$C$83,F131)&gt;0),"Yes","No")</x:f>
        <x:v>No</x:v>
      </x:c>
      <x:c r="H131" s="26" t="str">
        <x:v>214K views</x:v>
      </x:c>
      <x:c r="I131" s="26" t="str">
        <x:v>2 months ago</x:v>
      </x:c>
      <x:c r="J131" s="26" t="str">
        <x:v>1:01:23</x:v>
      </x:c>
      <x:c r="K131" s="96" t="str">
        <x:v>https://www.youtube.com/watch?v=vwvCE5OB3W4</x:v>
      </x:c>
      <x:c r="L131" s="96" t="str">
        <x:v>https://www.youtube.com/@yellowcherry_jam</x:v>
      </x:c>
    </x:row>
    <x:row r="132" ht="32" customHeight="1">
      <x:c r="A132" s="26" t="n">
        <x:v>126</x:v>
      </x:c>
      <x:c r="B132" s="26" t="str">
        <x:v>Video</x:v>
      </x:c>
      <x:c r="C132" s="27" t="str">
        <x:v>how AI is inventing antibodies — Santiago Mille (Germinal)</x:v>
      </x:c>
      <x:c r="D132" t="str">
        <x:v>g9GBoiOtibQ</x:v>
      </x:c>
      <x:c r="E132" t="str">
        <x:v>The Sheekey Science Show</x:v>
      </x:c>
      <x:c r="F132" t="str">
        <x:v>@TheSheekeyScienceShow</x:v>
      </x:c>
      <x:c r="G132" s="26" t="str">
        <x:f>IF(OR(COUNTIF('Current Subscriptions'!$B$7:$B$83,E132)&gt;0,COUNTIF('Current Subscriptions'!$C$7:$C$83,F132)&gt;0),"Yes","No")</x:f>
        <x:v>No</x:v>
      </x:c>
      <x:c r="H132" s="26" t="str">
        <x:v>1.1K views</x:v>
      </x:c>
      <x:c r="I132" s="26" t="str">
        <x:v>1 month ago</x:v>
      </x:c>
      <x:c r="J132" s="26" t="str">
        <x:v>57:11</x:v>
      </x:c>
      <x:c r="K132" s="96" t="str">
        <x:v>https://www.youtube.com/watch?v=g9GBoiOtibQ&amp;pp=ugUHEgVlbi1HQg%3D%3D</x:v>
      </x:c>
      <x:c r="L132" s="96" t="str">
        <x:v>https://www.youtube.com/@TheSheekeyScienceShow</x:v>
      </x:c>
    </x:row>
    <x:row r="133" ht="32" customHeight="1">
      <x:c r="A133" s="26" t="n">
        <x:v>127</x:v>
      </x:c>
      <x:c r="B133" s="26" t="str">
        <x:v>Video</x:v>
      </x:c>
      <x:c r="C133" s="27" t="str">
        <x:v>Bart is doing WHAT? (Learn French with The Simpsons)</x:v>
      </x:c>
      <x:c r="D133" t="str">
        <x:v>LF0pJOZfyYc</x:v>
      </x:c>
      <x:c r="E133" t="str">
        <x:v>FluentU French</x:v>
      </x:c>
      <x:c r="F133" t="str">
        <x:v>@FluentUFrench</x:v>
      </x:c>
      <x:c r="G133" s="26" t="str">
        <x:f>IF(OR(COUNTIF('Current Subscriptions'!$B$7:$B$83,E133)&gt;0,COUNTIF('Current Subscriptions'!$C$7:$C$83,F133)&gt;0),"Yes","No")</x:f>
        <x:v>No</x:v>
      </x:c>
      <x:c r="H133" s="26" t="str">
        <x:v>30K views</x:v>
      </x:c>
      <x:c r="I133" s="26" t="str">
        <x:v>1 year ago</x:v>
      </x:c>
      <x:c r="J133" s="26" t="str">
        <x:v>18:17</x:v>
      </x:c>
      <x:c r="K133" s="96" t="str">
        <x:v>https://www.youtube.com/watch?v=LF0pJOZfyYc</x:v>
      </x:c>
      <x:c r="L133" s="96" t="str">
        <x:v>https://www.youtube.com/@FluentUFrench</x:v>
      </x:c>
    </x:row>
    <x:row r="134" ht="32" customHeight="1">
      <x:c r="A134" s="26" t="n">
        <x:v>128</x:v>
      </x:c>
      <x:c r="B134" s="26" t="str">
        <x:v>Video</x:v>
      </x:c>
      <x:c r="C134" s="27" t="str">
        <x:v>Teaching Myself Electronics (Part Two)</x:v>
      </x:c>
      <x:c r="D134" t="str">
        <x:v>Ynqfo_Vxpp8</x:v>
      </x:c>
      <x:c r="E134" t="str">
        <x:v>ProjectMaria</x:v>
      </x:c>
      <x:c r="F134" t="str">
        <x:v>@pr0jectmaria</x:v>
      </x:c>
      <x:c r="G134" s="26" t="str">
        <x:f>IF(OR(COUNTIF('Current Subscriptions'!$B$7:$B$83,E134)&gt;0,COUNTIF('Current Subscriptions'!$C$7:$C$83,F134)&gt;0),"Yes","No")</x:f>
        <x:v>No</x:v>
      </x:c>
      <x:c r="H134" s="26" t="str">
        <x:v>73K views</x:v>
      </x:c>
      <x:c r="I134" s="26" t="str">
        <x:v>3 days ago</x:v>
      </x:c>
      <x:c r="J134" s="26" t="str">
        <x:v>9:46</x:v>
      </x:c>
      <x:c r="K134" s="96" t="str">
        <x:v>https://www.youtube.com/watch?v=Ynqfo_Vxpp8&amp;pp=ugUEEgJlbg%3D%3D</x:v>
      </x:c>
      <x:c r="L134" s="96" t="str">
        <x:v>https://www.youtube.com/@pr0jectmaria</x:v>
      </x:c>
    </x:row>
    <x:row r="135" ht="32" customHeight="1">
      <x:c r="A135" s="26" t="n">
        <x:v>129</x:v>
      </x:c>
      <x:c r="B135" s="26" t="str">
        <x:v>Video</x:v>
      </x:c>
      <x:c r="C135" s="27" t="str">
        <x:v>The Buddha's 7 Methods for Overcoming Craving</x:v>
      </x:c>
      <x:c r="D135" t="str">
        <x:v>hFygtrD5Qlo</x:v>
      </x:c>
      <x:c r="E135" t="str">
        <x:v>Doug's Dharma</x:v>
      </x:c>
      <x:c r="F135" t="str">
        <x:v>@DougsDharma</x:v>
      </x:c>
      <x:c r="G135" s="26" t="str">
        <x:f>IF(OR(COUNTIF('Current Subscriptions'!$B$7:$B$83,E135)&gt;0,COUNTIF('Current Subscriptions'!$C$7:$C$83,F135)&gt;0),"Yes","No")</x:f>
        <x:v>Yes</x:v>
      </x:c>
      <x:c r="H135" s="26" t="str">
        <x:v>5.8K views</x:v>
      </x:c>
      <x:c r="I135" s="26" t="str">
        <x:v>3 months ago</x:v>
      </x:c>
      <x:c r="J135" s="26" t="str">
        <x:v>15:53</x:v>
      </x:c>
      <x:c r="K135" s="96" t="str">
        <x:v>https://www.youtube.com/watch?v=hFygtrD5Qlo&amp;pp=ugUHEgVlbi1VUw%3D%3D</x:v>
      </x:c>
      <x:c r="L135" s="96" t="str">
        <x:v>https://www.youtube.com/@DougsDharma</x:v>
      </x:c>
    </x:row>
    <x:row r="136" ht="32" customHeight="1">
      <x:c r="A136" s="26" t="n">
        <x:v>130</x:v>
      </x:c>
      <x:c r="B136" s="26" t="str">
        <x:v>Video</x:v>
      </x:c>
      <x:c r="C136" s="27" t="str">
        <x:v>No AI Lofi Music | Work &amp; Study with Good Company</x:v>
      </x:c>
      <x:c r="D136" t="str">
        <x:v>1K-BU1EGjnw</x:v>
      </x:c>
      <x:c r="E136" t="str">
        <x:v>Yellow Cherry Jam</x:v>
      </x:c>
      <x:c r="F136" t="str">
        <x:v>@yellowcherry_jam</x:v>
      </x:c>
      <x:c r="G136" s="26" t="str">
        <x:f>IF(OR(COUNTIF('Current Subscriptions'!$B$7:$B$83,E136)&gt;0,COUNTIF('Current Subscriptions'!$C$7:$C$83,F136)&gt;0),"Yes","No")</x:f>
        <x:v>No</x:v>
      </x:c>
      <x:c r="H136" s="26" t="str">
        <x:v>213K views</x:v>
      </x:c>
      <x:c r="I136" s="26" t="str">
        <x:v>7 months ago</x:v>
      </x:c>
      <x:c r="J136" s="26" t="str">
        <x:v>1:03:27</x:v>
      </x:c>
      <x:c r="K136" s="96" t="str">
        <x:v>https://www.youtube.com/watch?v=1K-BU1EGjnw</x:v>
      </x:c>
      <x:c r="L136" s="96" t="str">
        <x:v>https://www.youtube.com/@yellowcherry_jam</x:v>
      </x:c>
    </x:row>
    <x:row r="137" ht="32" customHeight="1">
      <x:c r="A137" s="26" t="n">
        <x:v>131</x:v>
      </x:c>
      <x:c r="B137" s="26" t="str">
        <x:v>Video</x:v>
      </x:c>
      <x:c r="C137" s="27" t="str">
        <x:v>How the Internet Ruins Your Brain</x:v>
      </x:c>
      <x:c r="D137" t="str">
        <x:v>-WVhL9Qp_lk</x:v>
      </x:c>
      <x:c r="E137" t="str">
        <x:v>WheezyWaiter</x:v>
      </x:c>
      <x:c r="F137" t="str">
        <x:v>@wheezywaiter</x:v>
      </x:c>
      <x:c r="G137" s="26" t="str">
        <x:f>IF(OR(COUNTIF('Current Subscriptions'!$B$7:$B$83,E137)&gt;0,COUNTIF('Current Subscriptions'!$C$7:$C$83,F137)&gt;0),"Yes","No")</x:f>
        <x:v>No</x:v>
      </x:c>
      <x:c r="H137" s="26" t="str">
        <x:v>27K views</x:v>
      </x:c>
      <x:c r="I137" s="26" t="str">
        <x:v>5 days ago</x:v>
      </x:c>
      <x:c r="J137" s="26" t="str">
        <x:v>11:03</x:v>
      </x:c>
      <x:c r="K137" s="96" t="str">
        <x:v>https://www.youtube.com/watch?v=-WVhL9Qp_lk</x:v>
      </x:c>
      <x:c r="L137" s="96" t="str">
        <x:v>https://www.youtube.com/@wheezywaiter</x:v>
      </x:c>
    </x:row>
    <x:row r="138" ht="32" customHeight="1">
      <x:c r="A138" s="26" t="n">
        <x:v>132</x:v>
      </x:c>
      <x:c r="B138" s="26" t="str">
        <x:v>Video</x:v>
      </x:c>
      <x:c r="C138" s="27" t="str">
        <x:v>Learn French with TV series: Bob L'éponge - Spongebob has a twin???</x:v>
      </x:c>
      <x:c r="D138" t="str">
        <x:v>WJHt2aNz6cU</x:v>
      </x:c>
      <x:c r="E138" t="str">
        <x:v>FluentU French</x:v>
      </x:c>
      <x:c r="F138" t="str">
        <x:v>@FluentUFrench</x:v>
      </x:c>
      <x:c r="G138" s="26" t="str">
        <x:f>IF(OR(COUNTIF('Current Subscriptions'!$B$7:$B$83,E138)&gt;0,COUNTIF('Current Subscriptions'!$C$7:$C$83,F138)&gt;0),"Yes","No")</x:f>
        <x:v>No</x:v>
      </x:c>
      <x:c r="H138" s="26" t="str">
        <x:v>197K views</x:v>
      </x:c>
      <x:c r="I138" s="26" t="str">
        <x:v>3 years ago</x:v>
      </x:c>
      <x:c r="J138" s="26" t="str">
        <x:v>15:51</x:v>
      </x:c>
      <x:c r="K138" s="96" t="str">
        <x:v>https://www.youtube.com/watch?v=WJHt2aNz6cU</x:v>
      </x:c>
      <x:c r="L138" s="96" t="str">
        <x:v>https://www.youtube.com/@FluentUFrench</x:v>
      </x:c>
    </x:row>
    <x:row r="139" ht="32" customHeight="1">
      <x:c r="A139" s="26" t="n">
        <x:v>133</x:v>
      </x:c>
      <x:c r="B139" s="26" t="str">
        <x:v>Video</x:v>
      </x:c>
      <x:c r="C139" s="27" t="str">
        <x:v>Tu peux comprendre cette vidéo en français ?</x:v>
      </x:c>
      <x:c r="D139" t="str">
        <x:v>fBopWx6OFfs</x:v>
      </x:c>
      <x:c r="E139" t="str">
        <x:v>gas</x:v>
      </x:c>
      <x:c r="F139" t="str">
        <x:v>@GaspardFran%C3%A7ais</x:v>
      </x:c>
      <x:c r="G139" s="26" t="str">
        <x:f>IF(OR(COUNTIF('Current Subscriptions'!$B$7:$B$83,E139)&gt;0,COUNTIF('Current Subscriptions'!$C$7:$C$83,F139)&gt;0),"Yes","No")</x:f>
        <x:v>No</x:v>
      </x:c>
      <x:c r="H139" s="26" t="str">
        <x:v>14K views</x:v>
      </x:c>
      <x:c r="I139" s="26" t="str">
        <x:v>7 days ago</x:v>
      </x:c>
      <x:c r="J139" s="26" t="str">
        <x:v>12:27</x:v>
      </x:c>
      <x:c r="K139" s="96" t="str">
        <x:v>https://www.youtube.com/watch?v=fBopWx6OFfs</x:v>
      </x:c>
      <x:c r="L139" s="96" t="str">
        <x:v>https://www.youtube.com/@GaspardFran%C3%A7ais</x:v>
      </x:c>
    </x:row>
    <x:row r="140" ht="32" customHeight="1">
      <x:c r="A140" s="26" t="n">
        <x:v>134</x:v>
      </x:c>
      <x:c r="B140" s="26" t="str">
        <x:v>Video</x:v>
      </x:c>
      <x:c r="C140" s="27" t="str">
        <x:v>Digital Electronics - The First Video YOU Should Watch</x:v>
      </x:c>
      <x:c r="D140" t="str">
        <x:v>pDELW2pIvWw</x:v>
      </x:c>
      <x:c r="E140" t="str">
        <x:v>CaptiveAire</x:v>
      </x:c>
      <x:c r="F140" t="str">
        <x:v>@CAPTIVEAIRE</x:v>
      </x:c>
      <x:c r="G140" s="26" t="str">
        <x:f>IF(OR(COUNTIF('Current Subscriptions'!$B$7:$B$83,E140)&gt;0,COUNTIF('Current Subscriptions'!$C$7:$C$83,F140)&gt;0),"Yes","No")</x:f>
        <x:v>No</x:v>
      </x:c>
      <x:c r="H140" s="26" t="str">
        <x:v>1.5M views</x:v>
      </x:c>
      <x:c r="I140" s="26" t="str">
        <x:v>3 years ago</x:v>
      </x:c>
      <x:c r="J140" s="26" t="str">
        <x:v>56:25</x:v>
      </x:c>
      <x:c r="K140" s="96" t="str">
        <x:v>https://www.youtube.com/watch?v=pDELW2pIvWw</x:v>
      </x:c>
      <x:c r="L140" s="96" t="str">
        <x:v>https://www.youtube.com/@CAPTIVEAIRE</x:v>
      </x:c>
    </x:row>
    <x:row r="141" ht="32" customHeight="1">
      <x:c r="A141" s="26" t="n">
        <x:v>135</x:v>
      </x:c>
      <x:c r="B141" s="26" t="str">
        <x:v>Video</x:v>
      </x:c>
      <x:c r="C141" s="27" t="str">
        <x:v>Why Missouri is Spending $3B on One Road</x:v>
      </x:c>
      <x:c r="D141" t="str">
        <x:v>GO2uEUlnLnc</x:v>
      </x:c>
      <x:c r="E141" t="str">
        <x:v>Build Core</x:v>
      </x:c>
      <x:c r="F141" t="str">
        <x:v>@BuildCore</x:v>
      </x:c>
      <x:c r="G141" s="26" t="str">
        <x:f>IF(OR(COUNTIF('Current Subscriptions'!$B$7:$B$83,E141)&gt;0,COUNTIF('Current Subscriptions'!$C$7:$C$83,F141)&gt;0),"Yes","No")</x:f>
        <x:v>No</x:v>
      </x:c>
      <x:c r="H141" s="26" t="str">
        <x:v>134K views</x:v>
      </x:c>
      <x:c r="I141" s="26" t="str">
        <x:v>4 days ago</x:v>
      </x:c>
      <x:c r="J141" s="26" t="str">
        <x:v>9:21</x:v>
      </x:c>
      <x:c r="K141" s="96" t="str">
        <x:v>https://www.youtube.com/watch?v=GO2uEUlnLnc&amp;pp=ugUEEgJlbg%3D%3D</x:v>
      </x:c>
      <x:c r="L141" s="96" t="str">
        <x:v>https://www.youtube.com/@BuildCore</x:v>
      </x:c>
    </x:row>
    <x:row r="142" ht="32" customHeight="1">
      <x:c r="A142" s="26" t="n">
        <x:v>136</x:v>
      </x:c>
      <x:c r="B142" s="26" t="str">
        <x:v>Mix</x:v>
      </x:c>
      <x:c r="C142" s="27" t="str">
        <x:v>Learn French with Cartoons</x:v>
      </x:c>
      <x:c r="D142" t="str">
        <x:v>IXo8ea9NhIg</x:v>
      </x:c>
      <x:c r="E142" t="str">
        <x:v>FluentU French</x:v>
      </x:c>
      <x:c r="F142" t="str">
        <x:v>@FluentUFrench</x:v>
      </x:c>
      <x:c r="G142" s="26" t="str">
        <x:f>IF(OR(COUNTIF('Current Subscriptions'!$B$7:$B$83,E142)&gt;0,COUNTIF('Current Subscriptions'!$C$7:$C$83,F142)&gt;0),"Yes","No")</x:f>
        <x:v>No</x:v>
      </x:c>
      <x:c r="H142" s="26" t="str"/>
      <x:c r="I142" s="26" t="str">
        <x:v>Updated 4 days ago</x:v>
      </x:c>
      <x:c r="J142" s="26" t="str"/>
      <x:c r="K142" s="96" t="str">
        <x:v>https://www.youtube.com/watch?v=IXo8ea9NhIg&amp;list=PLRN6QJdPPfc1dQtbTGti8FPiOzGw3bD5j</x:v>
      </x:c>
      <x:c r="L142" s="96" t="str">
        <x:v>https://www.youtube.com/@FluentUFrench</x:v>
      </x:c>
    </x:row>
    <x:row r="143" ht="32" customHeight="1">
      <x:c r="A143" s="26" t="n">
        <x:v>137</x:v>
      </x:c>
      <x:c r="B143" s="26" t="str">
        <x:v>Mix</x:v>
      </x:c>
      <x:c r="C143" s="27" t="str">
        <x:v>Mix - Taylor Swift - Anti-Hero (Official Music Video)</x:v>
      </x:c>
      <x:c r="D143" t="str">
        <x:v>b1kbLwvqugk</x:v>
      </x:c>
      <x:c r="E143" t="str">
        <x:v>Taylor Swift</x:v>
      </x:c>
      <x:c r="F143" t="str">
        <x:v>@TaylorSwift</x:v>
      </x:c>
      <x:c r="G143" s="26" t="str">
        <x:f>IF(OR(COUNTIF('Current Subscriptions'!$B$7:$B$83,E143)&gt;0,COUNTIF('Current Subscriptions'!$C$7:$C$83,F143)&gt;0),"Yes","No")</x:f>
        <x:v>No</x:v>
      </x:c>
      <x:c r="H143" s="26" t="str"/>
      <x:c r="I143" s="26" t="str"/>
      <x:c r="J143" s="26" t="str"/>
      <x:c r="K143" s="96" t="str">
        <x:v>https://www.youtube.com/watch?v=b1kbLwvqugk&amp;list=RDb1kbLwvqugk&amp;start_radio=1</x:v>
      </x:c>
      <x:c r="L143" s="96" t="str">
        <x:v>https://www.youtube.com/@TaylorSwift</x:v>
      </x:c>
    </x:row>
    <x:row r="144" ht="32" customHeight="1">
      <x:c r="A144" s="26" t="n">
        <x:v>138</x:v>
      </x:c>
      <x:c r="B144" s="26" t="str">
        <x:v>Mix</x:v>
      </x:c>
      <x:c r="C144" s="27" t="str">
        <x:v>Mix - Electronic music</x:v>
      </x:c>
      <x:c r="D144" t="str">
        <x:v>OyEyYft1Fac</x:v>
      </x:c>
      <x:c r="E144" t="str">
        <x:v>fosterthepeopleVEVO</x:v>
      </x:c>
      <x:c r="F144" t="str">
        <x:v>@fosterthepeopleVEVO</x:v>
      </x:c>
      <x:c r="G144" s="26" t="str">
        <x:f>IF(OR(COUNTIF('Current Subscriptions'!$B$7:$B$83,E144)&gt;0,COUNTIF('Current Subscriptions'!$C$7:$C$83,F144)&gt;0),"Yes","No")</x:f>
        <x:v>No</x:v>
      </x:c>
      <x:c r="H144" s="26" t="str"/>
      <x:c r="I144" s="26" t="str"/>
      <x:c r="J144" s="26" t="str"/>
      <x:c r="K144" s="96" t="str">
        <x:v>https://www.youtube.com/watch?v=OyEyYft1Fac&amp;list=RDGMEMYH9CUrFO7CfLJpaD7UR85wVMOyEyYft1Fac&amp;start_radio=1</x:v>
      </x:c>
      <x:c r="L144" s="96" t="str">
        <x:v>https://www.youtube.com/@fosterthepeopleVEVO</x:v>
      </x:c>
    </x:row>
    <x:row r="145" ht="32" customHeight="1">
      <x:c r="A145" s="26" t="n">
        <x:v>139</x:v>
      </x:c>
      <x:c r="B145" s="26" t="str">
        <x:v>Video</x:v>
      </x:c>
      <x:c r="C145" s="27" t="str">
        <x:v>Professor Answers Coding Questions | Tech Support | WIRED</x:v>
      </x:c>
      <x:c r="D145" t="str">
        <x:v>PZ_ebxkNZmo</x:v>
      </x:c>
      <x:c r="E145" t="str">
        <x:v>WIRED</x:v>
      </x:c>
      <x:c r="F145" t="str">
        <x:v>@WIRED</x:v>
      </x:c>
      <x:c r="G145" s="26" t="str">
        <x:f>IF(OR(COUNTIF('Current Subscriptions'!$B$7:$B$83,E145)&gt;0,COUNTIF('Current Subscriptions'!$C$7:$C$83,F145)&gt;0),"Yes","No")</x:f>
        <x:v>No</x:v>
      </x:c>
      <x:c r="H145" s="26" t="str">
        <x:v>1.3M views</x:v>
      </x:c>
      <x:c r="I145" s="26" t="str">
        <x:v>8 months ago</x:v>
      </x:c>
      <x:c r="J145" s="26" t="str">
        <x:v>33:49</x:v>
      </x:c>
      <x:c r="K145" s="96" t="str">
        <x:v>https://www.youtube.com/watch?v=PZ_ebxkNZmo</x:v>
      </x:c>
      <x:c r="L145" s="96" t="str">
        <x:v>https://www.youtube.com/@WIRED</x:v>
      </x:c>
    </x:row>
    <x:row r="146" ht="32" customHeight="1">
      <x:c r="A146" s="26" t="n">
        <x:v>140</x:v>
      </x:c>
      <x:c r="B146" s="26" t="str">
        <x:v>Video</x:v>
      </x:c>
      <x:c r="C146" s="27" t="str">
        <x:v>A scrappers guide to micro scrapping - precious metals from ewaste</x:v>
      </x:c>
      <x:c r="D146" t="str">
        <x:v>Y-Mg7JCDn3c</x:v>
      </x:c>
      <x:c r="E146" t="str">
        <x:v>Scrapping Scotland</x:v>
      </x:c>
      <x:c r="F146" t="str">
        <x:v>@ScrappingScotland</x:v>
      </x:c>
      <x:c r="G146" s="26" t="str">
        <x:f>IF(OR(COUNTIF('Current Subscriptions'!$B$7:$B$83,E146)&gt;0,COUNTIF('Current Subscriptions'!$C$7:$C$83,F146)&gt;0),"Yes","No")</x:f>
        <x:v>No</x:v>
      </x:c>
      <x:c r="H146" s="26" t="str">
        <x:v>277K views</x:v>
      </x:c>
      <x:c r="I146" s="26" t="str">
        <x:v>2 years ago</x:v>
      </x:c>
      <x:c r="J146" s="26" t="str">
        <x:v>42:32</x:v>
      </x:c>
      <x:c r="K146" s="96" t="str">
        <x:v>https://www.youtube.com/watch?v=Y-Mg7JCDn3c&amp;pp=ugUEEgJlbg%3D%3D</x:v>
      </x:c>
      <x:c r="L146" s="96" t="str">
        <x:v>https://www.youtube.com/@ScrappingScotland</x:v>
      </x:c>
    </x:row>
    <x:row r="147" ht="32" customHeight="1">
      <x:c r="A147" s="26" t="n">
        <x:v>141</x:v>
      </x:c>
      <x:c r="B147" s="26" t="str">
        <x:v>Video</x:v>
      </x:c>
      <x:c r="C147" s="27" t="str">
        <x:v>Red Hot Chili Peppers Budokan 2000 (remastered)</x:v>
      </x:c>
      <x:c r="D147" t="str">
        <x:v>Vcb_VXdp9T8</x:v>
      </x:c>
      <x:c r="E147" t="str">
        <x:v>And Reas</x:v>
      </x:c>
      <x:c r="F147" t="str">
        <x:v>@AndReas-td8jv</x:v>
      </x:c>
      <x:c r="G147" s="26" t="str">
        <x:f>IF(OR(COUNTIF('Current Subscriptions'!$B$7:$B$83,E147)&gt;0,COUNTIF('Current Subscriptions'!$C$7:$C$83,F147)&gt;0),"Yes","No")</x:f>
        <x:v>No</x:v>
      </x:c>
      <x:c r="H147" s="26" t="str">
        <x:v>327K views</x:v>
      </x:c>
      <x:c r="I147" s="26" t="str">
        <x:v>11 years ago</x:v>
      </x:c>
      <x:c r="J147" s="26" t="str">
        <x:v>1:28:22</x:v>
      </x:c>
      <x:c r="K147" s="96" t="str">
        <x:v>https://www.youtube.com/watch?v=Vcb_VXdp9T8</x:v>
      </x:c>
      <x:c r="L147" s="96" t="str">
        <x:v>https://www.youtube.com/@AndReas-td8jv</x:v>
      </x:c>
    </x:row>
    <x:row r="148" ht="32" customHeight="1">
      <x:c r="A148" s="26" t="n">
        <x:v>142</x:v>
      </x:c>
      <x:c r="B148" s="26" t="str">
        <x:v>Mix</x:v>
      </x:c>
      <x:c r="C148" s="27" t="str">
        <x:v>Mix - Daft Punk - Harder, Better, Faster, Stronger (Official Video)</x:v>
      </x:c>
      <x:c r="D148" t="str">
        <x:v>gAjR4_CbPpQ</x:v>
      </x:c>
      <x:c r="E148" t="str">
        <x:v>Daft Punk</x:v>
      </x:c>
      <x:c r="F148" t="str">
        <x:v>@daftpunk</x:v>
      </x:c>
      <x:c r="G148" s="26" t="str">
        <x:f>IF(OR(COUNTIF('Current Subscriptions'!$B$7:$B$83,E148)&gt;0,COUNTIF('Current Subscriptions'!$C$7:$C$83,F148)&gt;0),"Yes","No")</x:f>
        <x:v>No</x:v>
      </x:c>
      <x:c r="H148" s="26" t="str"/>
      <x:c r="I148" s="26" t="str"/>
      <x:c r="J148" s="26" t="str"/>
      <x:c r="K148" s="96" t="str">
        <x:v>https://www.youtube.com/watch?v=gAjR4_CbPpQ&amp;list=RDgAjR4_CbPpQ&amp;start_radio=1</x:v>
      </x:c>
      <x:c r="L148" s="96" t="str">
        <x:v>https://www.youtube.com/@daftpunk</x:v>
      </x:c>
    </x:row>
    <x:row r="149" ht="32" customHeight="1">
      <x:c r="A149" s="26" t="n">
        <x:v>143</x:v>
      </x:c>
      <x:c r="B149" s="26" t="str">
        <x:v>Video</x:v>
      </x:c>
      <x:c r="C149" s="27" t="str">
        <x:v>morning routine house mix</x:v>
      </x:c>
      <x:c r="D149" t="str">
        <x:v>8B4soa7z098</x:v>
      </x:c>
      <x:c r="E149" t="str">
        <x:v>gesus8</x:v>
      </x:c>
      <x:c r="F149" t="str">
        <x:v>@gesus8</x:v>
      </x:c>
      <x:c r="G149" s="26" t="str">
        <x:f>IF(OR(COUNTIF('Current Subscriptions'!$B$7:$B$83,E149)&gt;0,COUNTIF('Current Subscriptions'!$C$7:$C$83,F149)&gt;0),"Yes","No")</x:f>
        <x:v>No</x:v>
      </x:c>
      <x:c r="H149" s="26" t="str">
        <x:v>3M views</x:v>
      </x:c>
      <x:c r="I149" s="26" t="str">
        <x:v>9 months ago</x:v>
      </x:c>
      <x:c r="J149" s="26" t="str">
        <x:v>44:27</x:v>
      </x:c>
      <x:c r="K149" s="96" t="str">
        <x:v>https://www.youtube.com/watch?v=8B4soa7z098</x:v>
      </x:c>
      <x:c r="L149" s="96" t="str">
        <x:v>https://www.youtube.com/@gesus8</x:v>
      </x:c>
    </x:row>
    <x:row r="150" ht="32" customHeight="1">
      <x:c r="A150" s="26" t="n">
        <x:v>144</x:v>
      </x:c>
      <x:c r="B150" s="26" t="str">
        <x:v>Video</x:v>
      </x:c>
      <x:c r="C150" s="27" t="str">
        <x:v>Scrapping A Flatscreen TV - How To Make Money From A Scrap TV!</x:v>
      </x:c>
      <x:c r="D150" t="str">
        <x:v>x8cKpd7BlJU</x:v>
      </x:c>
      <x:c r="E150" t="str">
        <x:v>thubprint</x:v>
      </x:c>
      <x:c r="F150" t="str">
        <x:v>@thubprint</x:v>
      </x:c>
      <x:c r="G150" s="26" t="str">
        <x:f>IF(OR(COUNTIF('Current Subscriptions'!$B$7:$B$83,E150)&gt;0,COUNTIF('Current Subscriptions'!$C$7:$C$83,F150)&gt;0),"Yes","No")</x:f>
        <x:v>No</x:v>
      </x:c>
      <x:c r="H150" s="26" t="str">
        <x:v>1.4M views</x:v>
      </x:c>
      <x:c r="I150" s="26" t="str">
        <x:v>6 years ago</x:v>
      </x:c>
      <x:c r="J150" s="26" t="str">
        <x:v>13:49</x:v>
      </x:c>
      <x:c r="K150" s="96" t="str">
        <x:v>https://www.youtube.com/watch?v=x8cKpd7BlJU&amp;pp=ugUEEgJlbg%3D%3D</x:v>
      </x:c>
      <x:c r="L150" s="96" t="str">
        <x:v>https://www.youtube.com/@thubprint</x:v>
      </x:c>
    </x:row>
    <x:row r="151" ht="32" customHeight="1">
      <x:c r="A151" s="26" t="n">
        <x:v>145</x:v>
      </x:c>
      <x:c r="B151" s="26" t="str">
        <x:v>Video</x:v>
      </x:c>
      <x:c r="C151" s="27" t="str">
        <x:v>Welcome to C++</x:v>
      </x:c>
      <x:c r="D151" t="str">
        <x:v>18c3MTX0PK0</x:v>
      </x:c>
      <x:c r="E151" t="str">
        <x:v>The Cherno</x:v>
      </x:c>
      <x:c r="F151" t="str">
        <x:v>@TheCherno</x:v>
      </x:c>
      <x:c r="G151" s="26" t="str">
        <x:f>IF(OR(COUNTIF('Current Subscriptions'!$B$7:$B$83,E151)&gt;0,COUNTIF('Current Subscriptions'!$C$7:$C$83,F151)&gt;0),"Yes","No")</x:f>
        <x:v>No</x:v>
      </x:c>
      <x:c r="H151" s="26" t="str">
        <x:v>2.6M views</x:v>
      </x:c>
      <x:c r="I151" s="26" t="str">
        <x:v>9 years ago</x:v>
      </x:c>
      <x:c r="J151" s="26" t="str">
        <x:v>7:05</x:v>
      </x:c>
      <x:c r="K151" s="96" t="str">
        <x:v>https://www.youtube.com/watch?v=18c3MTX0PK0</x:v>
      </x:c>
      <x:c r="L151" s="96" t="str">
        <x:v>https://www.youtube.com/@TheCherno</x:v>
      </x:c>
    </x:row>
    <x:row r="152" ht="32" customHeight="1">
      <x:c r="A152" s="26" t="n">
        <x:v>146</x:v>
      </x:c>
      <x:c r="B152" s="26" t="str">
        <x:v>Video</x:v>
      </x:c>
      <x:c r="C152" s="27" t="str">
        <x:v>Finding Your Purpose, Solved</x:v>
      </x:c>
      <x:c r="D152" t="str">
        <x:v>60tqqKllFH4</x:v>
      </x:c>
      <x:c r="E152" t="str">
        <x:v>Mark Manson</x:v>
      </x:c>
      <x:c r="F152" t="str">
        <x:v>@IAmMarkManson</x:v>
      </x:c>
      <x:c r="G152" s="26" t="str">
        <x:f>IF(OR(COUNTIF('Current Subscriptions'!$B$7:$B$83,E152)&gt;0,COUNTIF('Current Subscriptions'!$C$7:$C$83,F152)&gt;0),"Yes","No")</x:f>
        <x:v>No</x:v>
      </x:c>
      <x:c r="H152" s="26" t="str">
        <x:v>192K views</x:v>
      </x:c>
      <x:c r="I152" s="26" t="str">
        <x:v>8 months ago</x:v>
      </x:c>
      <x:c r="J152" s="26" t="str">
        <x:v>4:44:19</x:v>
      </x:c>
      <x:c r="K152" s="96" t="str">
        <x:v>https://www.youtube.com/watch?v=60tqqKllFH4</x:v>
      </x:c>
      <x:c r="L152" s="96" t="str">
        <x:v>https://www.youtube.com/@IAmMarkManson</x:v>
      </x:c>
    </x:row>
    <x:row r="153" ht="32" customHeight="1">
      <x:c r="A153" s="26" t="n">
        <x:v>147</x:v>
      </x:c>
      <x:c r="B153" s="26" t="str">
        <x:v>Video</x:v>
      </x:c>
      <x:c r="C153" s="27" t="str">
        <x:v>nobonoko - Music For Animal Cafés [FULL]</x:v>
      </x:c>
      <x:c r="D153" t="str">
        <x:v>CftEMc4MO2E</x:v>
      </x:c>
      <x:c r="E153" t="str">
        <x:v>nobonoko</x:v>
      </x:c>
      <x:c r="F153" t="str">
        <x:v>@nobonokomusic</x:v>
      </x:c>
      <x:c r="G153" s="26" t="str">
        <x:f>IF(OR(COUNTIF('Current Subscriptions'!$B$7:$B$83,E153)&gt;0,COUNTIF('Current Subscriptions'!$C$7:$C$83,F153)&gt;0),"Yes","No")</x:f>
        <x:v>No</x:v>
      </x:c>
      <x:c r="H153" s="26" t="str">
        <x:v>1.6M views</x:v>
      </x:c>
      <x:c r="I153" s="26" t="str">
        <x:v>2 years ago</x:v>
      </x:c>
      <x:c r="J153" s="26" t="str">
        <x:v>51:48</x:v>
      </x:c>
      <x:c r="K153" s="96" t="str">
        <x:v>https://www.youtube.com/watch?v=CftEMc4MO2E</x:v>
      </x:c>
      <x:c r="L153" s="96" t="str">
        <x:v>https://www.youtube.com/@nobonokomusic</x:v>
      </x:c>
    </x:row>
    <x:row r="154" ht="32" customHeight="1">
      <x:c r="A154" s="26" t="n">
        <x:v>148</x:v>
      </x:c>
      <x:c r="B154" s="26" t="str">
        <x:v>Video</x:v>
      </x:c>
      <x:c r="C154" s="27" t="str">
        <x:v>Harvard Professor: CS50, What Matters More Than Programming Now, Lecturing Well | David J Malan</x:v>
      </x:c>
      <x:c r="D154" t="str">
        <x:v>bB2o81DnKHk</x:v>
      </x:c>
      <x:c r="E154" t="str">
        <x:v>Ryan Peterman</x:v>
      </x:c>
      <x:c r="F154" t="str">
        <x:v>@RyanLPeterman</x:v>
      </x:c>
      <x:c r="G154" s="26" t="str">
        <x:f>IF(OR(COUNTIF('Current Subscriptions'!$B$7:$B$83,E154)&gt;0,COUNTIF('Current Subscriptions'!$C$7:$C$83,F154)&gt;0),"Yes","No")</x:f>
        <x:v>No</x:v>
      </x:c>
      <x:c r="H154" s="26" t="str">
        <x:v>365K views</x:v>
      </x:c>
      <x:c r="I154" s="26" t="str">
        <x:v>3 months ago</x:v>
      </x:c>
      <x:c r="J154" s="26" t="str">
        <x:v>1:03:47</x:v>
      </x:c>
      <x:c r="K154" s="96" t="str">
        <x:v>https://www.youtube.com/watch?v=bB2o81DnKHk</x:v>
      </x:c>
      <x:c r="L154" s="96" t="str">
        <x:v>https://www.youtube.com/@RyanLPeterman</x:v>
      </x:c>
    </x:row>
    <x:row r="155" ht="32" customHeight="1">
      <x:c r="A155" s="26" t="n">
        <x:v>149</x:v>
      </x:c>
      <x:c r="B155" s="26" t="str">
        <x:v>Video</x:v>
      </x:c>
      <x:c r="C155" s="27" t="str">
        <x:v>I play lo-fi music for you, and AI can’t replace it 💛🍒🐶</x:v>
      </x:c>
      <x:c r="D155" t="str">
        <x:v>mT4g0paZ5gI</x:v>
      </x:c>
      <x:c r="E155" t="str">
        <x:v>Yellow Cherry Jam</x:v>
      </x:c>
      <x:c r="F155" t="str">
        <x:v>@yellowcherry_jam</x:v>
      </x:c>
      <x:c r="G155" s="26" t="str">
        <x:f>IF(OR(COUNTIF('Current Subscriptions'!$B$7:$B$83,E155)&gt;0,COUNTIF('Current Subscriptions'!$C$7:$C$83,F155)&gt;0),"Yes","No")</x:f>
        <x:v>No</x:v>
      </x:c>
      <x:c r="H155" s="26" t="str">
        <x:v>928K views</x:v>
      </x:c>
      <x:c r="I155" s="26" t="str">
        <x:v>1 year ago</x:v>
      </x:c>
      <x:c r="J155" s="26" t="str">
        <x:v>1:00:06</x:v>
      </x:c>
      <x:c r="K155" s="96" t="str">
        <x:v>https://www.youtube.com/watch?v=mT4g0paZ5gI&amp;t=285s</x:v>
      </x:c>
      <x:c r="L155" s="96" t="str">
        <x:v>https://www.youtube.com/@yellowcherry_jam</x:v>
      </x:c>
    </x:row>
    <x:row r="156" ht="32" customHeight="1">
      <x:c r="A156" s="26" t="n">
        <x:v>150</x:v>
      </x:c>
      <x:c r="B156" s="26" t="str">
        <x:v>Video</x:v>
      </x:c>
      <x:c r="C156" s="27" t="str">
        <x:v>Where Is The Gold Inside A Computer? - How To Find Precious Metals In Electronics</x:v>
      </x:c>
      <x:c r="D156" t="str">
        <x:v>FsZc0n3Qqy4</x:v>
      </x:c>
      <x:c r="E156" t="str">
        <x:v>thubprint</x:v>
      </x:c>
      <x:c r="F156" t="str">
        <x:v>@thubprint</x:v>
      </x:c>
      <x:c r="G156" s="26" t="str">
        <x:f>IF(OR(COUNTIF('Current Subscriptions'!$B$7:$B$83,E156)&gt;0,COUNTIF('Current Subscriptions'!$C$7:$C$83,F156)&gt;0),"Yes","No")</x:f>
        <x:v>No</x:v>
      </x:c>
      <x:c r="H156" s="26" t="str">
        <x:v>658K views</x:v>
      </x:c>
      <x:c r="I156" s="26" t="str">
        <x:v>5 years ago</x:v>
      </x:c>
      <x:c r="J156" s="26" t="str">
        <x:v>6:40</x:v>
      </x:c>
      <x:c r="K156" s="96" t="str">
        <x:v>https://www.youtube.com/watch?v=FsZc0n3Qqy4&amp;pp=ugUEEgJlbg%3D%3D</x:v>
      </x:c>
      <x:c r="L156" s="96" t="str">
        <x:v>https://www.youtube.com/@thubprint</x:v>
      </x:c>
    </x:row>
    <x:row r="157" ht="32" customHeight="1">
      <x:c r="A157" s="26" t="n">
        <x:v>151</x:v>
      </x:c>
      <x:c r="B157" s="26" t="str">
        <x:v>Mix</x:v>
      </x:c>
      <x:c r="C157" s="27" t="str">
        <x:v>Prime Rants</x:v>
      </x:c>
      <x:c r="D157" t="str">
        <x:v>G8vdu30EEfw</x:v>
      </x:c>
      <x:c r="E157" t="str">
        <x:v>ThePrimeagen</x:v>
      </x:c>
      <x:c r="F157" t="str">
        <x:v>@ThePrimeagen</x:v>
      </x:c>
      <x:c r="G157" s="26" t="str">
        <x:f>IF(OR(COUNTIF('Current Subscriptions'!$B$7:$B$83,E157)&gt;0,COUNTIF('Current Subscriptions'!$C$7:$C$83,F157)&gt;0),"Yes","No")</x:f>
        <x:v>Yes</x:v>
      </x:c>
      <x:c r="H157" s="26" t="str"/>
      <x:c r="I157" s="26" t="str"/>
      <x:c r="J157" s="26" t="str"/>
      <x:c r="K157" s="96" t="str">
        <x:v>https://www.youtube.com/watch?v=G8vdu30EEfw&amp;list=PLm323Lc7iSW_nFFAd52dgRV-UmTFnmXzO</x:v>
      </x:c>
      <x:c r="L157" s="96" t="str">
        <x:v>https://www.youtube.com/@ThePrimeagen</x:v>
      </x:c>
    </x:row>
    <x:row r="158" ht="32" customHeight="1">
      <x:c r="A158" s="26" t="n">
        <x:v>152</x:v>
      </x:c>
      <x:c r="B158" s="26" t="str">
        <x:v>Video</x:v>
      </x:c>
      <x:c r="C158" s="27" t="str">
        <x:v>Starting a Small Business, Part 2: Knowing Who Your Customers Are &amp; Building Your Marketing Strat</x:v>
      </x:c>
      <x:c r="D158" t="str">
        <x:v>nGque0BeUH4</x:v>
      </x:c>
      <x:c r="E158" t="str">
        <x:v>Cliff Ennico</x:v>
      </x:c>
      <x:c r="F158" t="str">
        <x:v>@cliffennico5793</x:v>
      </x:c>
      <x:c r="G158" s="26" t="str">
        <x:f>IF(OR(COUNTIF('Current Subscriptions'!$B$7:$B$83,E158)&gt;0,COUNTIF('Current Subscriptions'!$C$7:$C$83,F158)&gt;0),"Yes","No")</x:f>
        <x:v>No</x:v>
      </x:c>
      <x:c r="H158" s="26" t="str">
        <x:v>118K views</x:v>
      </x:c>
      <x:c r="I158" s="26" t="str">
        <x:v>11 years ago</x:v>
      </x:c>
      <x:c r="J158" s="26" t="str">
        <x:v>37:14</x:v>
      </x:c>
      <x:c r="K158" s="96" t="str">
        <x:v>https://www.youtube.com/watch?v=nGque0BeUH4</x:v>
      </x:c>
      <x:c r="L158" s="96" t="str">
        <x:v>https://www.youtube.com/@cliffennico5793</x:v>
      </x:c>
    </x:row>
    <x:row r="159" ht="32" customHeight="1">
      <x:c r="A159" s="26" t="n">
        <x:v>153</x:v>
      </x:c>
      <x:c r="B159" s="26" t="str">
        <x:v>Video</x:v>
      </x:c>
      <x:c r="C159" s="27" t="str">
        <x:v>How You End a Relationship Shapes What Comes Next</x:v>
      </x:c>
      <x:c r="D159" t="str">
        <x:v>D3NyVouLkmY</x:v>
      </x:c>
      <x:c r="E159" t="str">
        <x:v>Joe Hudson | Art of Accomplishment</x:v>
      </x:c>
      <x:c r="F159" t="str">
        <x:v>@ArtofAccomplishment</x:v>
      </x:c>
      <x:c r="G159" s="26" t="str">
        <x:f>IF(OR(COUNTIF('Current Subscriptions'!$B$7:$B$83,E159)&gt;0,COUNTIF('Current Subscriptions'!$C$7:$C$83,F159)&gt;0),"Yes","No")</x:f>
        <x:v>No</x:v>
      </x:c>
      <x:c r="H159" s="26" t="str">
        <x:v>867 views</x:v>
      </x:c>
      <x:c r="I159" s="26" t="str">
        <x:v>4 hours ago</x:v>
      </x:c>
      <x:c r="J159" s="26" t="str">
        <x:v>40:27</x:v>
      </x:c>
      <x:c r="K159" s="96" t="str">
        <x:v>https://www.youtube.com/watch?v=D3NyVouLkmY&amp;pp=ugUHEgVlbi1VUw%3D%3D</x:v>
      </x:c>
      <x:c r="L159" s="96" t="str">
        <x:v>https://www.youtube.com/@ArtofAccomplishment</x:v>
      </x:c>
    </x:row>
    <x:row r="160" ht="32" customHeight="1">
      <x:c r="A160" s="26" t="n">
        <x:v>154</x:v>
      </x:c>
      <x:c r="B160" s="26" t="str">
        <x:v>Video</x:v>
      </x:c>
      <x:c r="C160" s="27" t="str">
        <x:v>Olivia Rodrigo: Tiny Desk Concert</x:v>
      </x:c>
      <x:c r="D160" t="str">
        <x:v>jmh3iruf4RA</x:v>
      </x:c>
      <x:c r="E160" t="str">
        <x:v>NPR Music</x:v>
      </x:c>
      <x:c r="F160" t="str">
        <x:v>@nprmusic</x:v>
      </x:c>
      <x:c r="G160" s="26" t="str">
        <x:f>IF(OR(COUNTIF('Current Subscriptions'!$B$7:$B$83,E160)&gt;0,COUNTIF('Current Subscriptions'!$C$7:$C$83,F160)&gt;0),"Yes","No")</x:f>
        <x:v>No</x:v>
      </x:c>
      <x:c r="H160" s="26" t="str">
        <x:v>13M views</x:v>
      </x:c>
      <x:c r="I160" s="26" t="str">
        <x:v>2 years ago</x:v>
      </x:c>
      <x:c r="J160" s="26" t="str">
        <x:v>18:16</x:v>
      </x:c>
      <x:c r="K160" s="96" t="str">
        <x:v>https://www.youtube.com/watch?v=jmh3iruf4RA</x:v>
      </x:c>
      <x:c r="L160" s="96" t="str">
        <x:v>https://www.youtube.com/@nprmusic</x:v>
      </x:c>
    </x:row>
    <x:row r="161" ht="32" customHeight="1">
      <x:c r="A161" s="26" t="n">
        <x:v>155</x:v>
      </x:c>
      <x:c r="B161" s="26" t="str">
        <x:v>Video</x:v>
      </x:c>
      <x:c r="C161" s="27" t="str">
        <x:v>Q&amp;A with Tim — The Art of Male Friendship, Reinvention in The Age of AI, &amp; More</x:v>
      </x:c>
      <x:c r="D161" t="str">
        <x:v>NRjgAC-EcsY</x:v>
      </x:c>
      <x:c r="E161" t="str">
        <x:v>Tim Ferriss</x:v>
      </x:c>
      <x:c r="F161" t="str">
        <x:v>@timferriss</x:v>
      </x:c>
      <x:c r="G161" s="26" t="str">
        <x:f>IF(OR(COUNTIF('Current Subscriptions'!$B$7:$B$83,E161)&gt;0,COUNTIF('Current Subscriptions'!$C$7:$C$83,F161)&gt;0),"Yes","No")</x:f>
        <x:v>No</x:v>
      </x:c>
      <x:c r="H161" s="26" t="str">
        <x:v>45K views</x:v>
      </x:c>
      <x:c r="I161" s="26" t="str">
        <x:v>3 weeks ago</x:v>
      </x:c>
      <x:c r="J161" s="26" t="str">
        <x:v>1:09:55</x:v>
      </x:c>
      <x:c r="K161" s="96" t="str">
        <x:v>https://www.youtube.com/watch?v=NRjgAC-EcsY&amp;pp=ugUEEgJlbg%3D%3D</x:v>
      </x:c>
      <x:c r="L161" s="96" t="str">
        <x:v>https://www.youtube.com/@timferriss</x:v>
      </x:c>
    </x:row>
    <x:row r="162" ht="32" customHeight="1">
      <x:c r="A162" s="26" t="n">
        <x:v>156</x:v>
      </x:c>
      <x:c r="B162" s="26" t="str">
        <x:v>Mix</x:v>
      </x:c>
      <x:c r="C162" s="27" t="str">
        <x:v>Mix - kalaido - hanging lanterns</x:v>
      </x:c>
      <x:c r="D162" t="str">
        <x:v>pduHLli6NnA</x:v>
      </x:c>
      <x:c r="E162" t="str">
        <x:v>Kalaido</x:v>
      </x:c>
      <x:c r="F162" t="str">
        <x:v>@kalaidomusic</x:v>
      </x:c>
      <x:c r="G162" s="26" t="str">
        <x:f>IF(OR(COUNTIF('Current Subscriptions'!$B$7:$B$83,E162)&gt;0,COUNTIF('Current Subscriptions'!$C$7:$C$83,F162)&gt;0),"Yes","No")</x:f>
        <x:v>No</x:v>
      </x:c>
      <x:c r="H162" s="26" t="str"/>
      <x:c r="I162" s="26" t="str"/>
      <x:c r="J162" s="26" t="str"/>
      <x:c r="K162" s="96" t="str">
        <x:v>https://www.youtube.com/watch?v=pduHLli6NnA&amp;list=RDpduHLli6NnA&amp;start_radio=1</x:v>
      </x:c>
      <x:c r="L162" s="96" t="str">
        <x:v>https://www.youtube.com/@kalaidomusic</x:v>
      </x:c>
    </x:row>
    <x:row r="163" ht="32" customHeight="1">
      <x:c r="A163" s="26" t="n">
        <x:v>157</x:v>
      </x:c>
      <x:c r="B163" s="26" t="str">
        <x:v>Video</x:v>
      </x:c>
      <x:c r="C163" s="27" t="str">
        <x:v>Spreading Cheese on DDR2 RAM</x:v>
      </x:c>
      <x:c r="D163" t="str">
        <x:v>XdMBJAbFj9w</x:v>
      </x:c>
      <x:c r="E163" t="str">
        <x:v>Podel IRL</x:v>
      </x:c>
      <x:c r="F163" t="str">
        <x:v>@podel-irl</x:v>
      </x:c>
      <x:c r="G163" s="26" t="str">
        <x:f>IF(OR(COUNTIF('Current Subscriptions'!$B$7:$B$83,E163)&gt;0,COUNTIF('Current Subscriptions'!$C$7:$C$83,F163)&gt;0),"Yes","No")</x:f>
        <x:v>No</x:v>
      </x:c>
      <x:c r="H163" s="26" t="str">
        <x:v>4K views</x:v>
      </x:c>
      <x:c r="I163" s="26" t="str">
        <x:v>1 year ago</x:v>
      </x:c>
      <x:c r="J163" s="26" t="str">
        <x:v>0:53</x:v>
      </x:c>
      <x:c r="K163" s="96" t="str">
        <x:v>https://www.youtube.com/watch?v=XdMBJAbFj9w</x:v>
      </x:c>
      <x:c r="L163" s="96" t="str">
        <x:v>https://www.youtube.com/@podel-irl</x:v>
      </x:c>
    </x:row>
    <x:row r="164" ht="32" customHeight="1">
      <x:c r="A164" s="26" t="n">
        <x:v>158</x:v>
      </x:c>
      <x:c r="B164" s="26" t="str">
        <x:v>Video</x:v>
      </x:c>
      <x:c r="C164" s="27" t="str">
        <x:v>Scientists Are Making Seeds Without Plants</x:v>
      </x:c>
      <x:c r="D164" t="str">
        <x:v>Z0qvk9WCd6A</x:v>
      </x:c>
      <x:c r="E164" t="str">
        <x:v>Plants in Jars</x:v>
      </x:c>
      <x:c r="F164" t="str">
        <x:v>@plantsinjars</x:v>
      </x:c>
      <x:c r="G164" s="26" t="str">
        <x:f>IF(OR(COUNTIF('Current Subscriptions'!$B$7:$B$83,E164)&gt;0,COUNTIF('Current Subscriptions'!$C$7:$C$83,F164)&gt;0),"Yes","No")</x:f>
        <x:v>No</x:v>
      </x:c>
      <x:c r="H164" s="26" t="str">
        <x:v>37K views</x:v>
      </x:c>
      <x:c r="I164" s="26" t="str">
        <x:v>2 days ago</x:v>
      </x:c>
      <x:c r="J164" s="26" t="str">
        <x:v>20:10</x:v>
      </x:c>
      <x:c r="K164" s="96" t="str">
        <x:v>https://www.youtube.com/watch?v=Z0qvk9WCd6A&amp;pp=ugUEEgJlbg%3D%3D</x:v>
      </x:c>
      <x:c r="L164" s="96" t="str">
        <x:v>https://www.youtube.com/@plantsinjars</x:v>
      </x:c>
    </x:row>
    <x:row r="165" ht="32" customHeight="1">
      <x:c r="A165" s="26" t="n">
        <x:v>159</x:v>
      </x:c>
      <x:c r="B165" s="26" t="str">
        <x:v>Video</x:v>
      </x:c>
      <x:c r="C165" s="27" t="str">
        <x:v>Psychology of Polymaths: Why Having Multiple Interests Is an Unfair Advantage</x:v>
      </x:c>
      <x:c r="D165" t="str">
        <x:v>D0SGbomVuKc</x:v>
      </x:c>
      <x:c r="E165" t="str">
        <x:v>PsychToons</x:v>
      </x:c>
      <x:c r="F165" t="str">
        <x:v>@PsychToonsHQ</x:v>
      </x:c>
      <x:c r="G165" s="26" t="str">
        <x:f>IF(OR(COUNTIF('Current Subscriptions'!$B$7:$B$83,E165)&gt;0,COUNTIF('Current Subscriptions'!$C$7:$C$83,F165)&gt;0),"Yes","No")</x:f>
        <x:v>No</x:v>
      </x:c>
      <x:c r="H165" s="26" t="str">
        <x:v>483K views</x:v>
      </x:c>
      <x:c r="I165" s="26" t="str">
        <x:v>10 days ago</x:v>
      </x:c>
      <x:c r="J165" s="26" t="str">
        <x:v>13:38</x:v>
      </x:c>
      <x:c r="K165" s="96" t="str">
        <x:v>https://www.youtube.com/watch?v=D0SGbomVuKc&amp;pp=ugUEEgJlbg%3D%3D</x:v>
      </x:c>
      <x:c r="L165" s="96" t="str">
        <x:v>https://www.youtube.com/@PsychToonsHQ</x:v>
      </x:c>
    </x:row>
    <x:row r="166" ht="32" customHeight="1">
      <x:c r="A166" s="26" t="n">
        <x:v>160</x:v>
      </x:c>
      <x:c r="B166" s="26" t="str">
        <x:v>Video</x:v>
      </x:c>
      <x:c r="C166" s="27" t="str">
        <x:v>How childhood wiring impacts adult life, in 90 minutes | Becky Kennedy: Full Interview</x:v>
      </x:c>
      <x:c r="D166" t="str">
        <x:v>ESVLE2jX-8k</x:v>
      </x:c>
      <x:c r="E166" t="str">
        <x:v>Big Think</x:v>
      </x:c>
      <x:c r="F166" t="str">
        <x:v>@bigthink</x:v>
      </x:c>
      <x:c r="G166" s="26" t="str">
        <x:f>IF(OR(COUNTIF('Current Subscriptions'!$B$7:$B$83,E166)&gt;0,COUNTIF('Current Subscriptions'!$C$7:$C$83,F166)&gt;0),"Yes","No")</x:f>
        <x:v>No</x:v>
      </x:c>
      <x:c r="H166" s="26" t="str">
        <x:v>How childhood wiring impacts adult life, in 90 minutes | Becky Kennedy: Full Interview</x:v>
      </x:c>
      <x:c r="I166" s="26" t="str">
        <x:v>8 months ago</x:v>
      </x:c>
      <x:c r="J166" s="26" t="str">
        <x:v>1:42:33</x:v>
      </x:c>
      <x:c r="K166" s="96" t="str">
        <x:v>https://www.youtube.com/watch?v=ESVLE2jX-8k</x:v>
      </x:c>
      <x:c r="L166" s="96" t="str">
        <x:v>https://www.youtube.com/@bigthink</x:v>
      </x:c>
    </x:row>
    <x:row r="167" ht="32" customHeight="1">
      <x:c r="A167" s="26" t="n">
        <x:v>161</x:v>
      </x:c>
      <x:c r="B167" s="26" t="str">
        <x:v>Video</x:v>
      </x:c>
      <x:c r="C167" s="27" t="str">
        <x:v>The Pit of Success - An Interview with Rico Mariani</x:v>
      </x:c>
      <x:c r="D167" t="str">
        <x:v>48Rig6v-xYU</x:v>
      </x:c>
      <x:c r="E167" t="str">
        <x:v>Molly Rocket</x:v>
      </x:c>
      <x:c r="F167" t="str">
        <x:v>@MollyRocket</x:v>
      </x:c>
      <x:c r="G167" s="26" t="str">
        <x:f>IF(OR(COUNTIF('Current Subscriptions'!$B$7:$B$83,E167)&gt;0,COUNTIF('Current Subscriptions'!$C$7:$C$83,F167)&gt;0),"Yes","No")</x:f>
        <x:v>No</x:v>
      </x:c>
      <x:c r="H167" s="26" t="str">
        <x:v>23K views</x:v>
      </x:c>
      <x:c r="I167" s="26" t="str">
        <x:v>7 days ago</x:v>
      </x:c>
      <x:c r="J167" s="26" t="str">
        <x:v>1:20:57</x:v>
      </x:c>
      <x:c r="K167" s="96" t="str">
        <x:v>https://www.youtube.com/watch?v=48Rig6v-xYU&amp;pp=ugUEEgJlbg%3D%3D</x:v>
      </x:c>
      <x:c r="L167" s="96" t="str">
        <x:v>https://www.youtube.com/@MollyRocket</x:v>
      </x:c>
    </x:row>
    <x:row r="168" ht="32" customHeight="1">
      <x:c r="A168" s="26" t="n">
        <x:v>162</x:v>
      </x:c>
      <x:c r="B168" s="26" t="str">
        <x:v>Video</x:v>
      </x:c>
      <x:c r="C168" s="27" t="str">
        <x:v>How to Be a Renaissance Man (or Woman) in 2026</x:v>
      </x:c>
      <x:c r="D168" t="str">
        <x:v>izvA2RCVdcA</x:v>
      </x:c>
      <x:c r="E168" t="str">
        <x:v>ParkNotes</x:v>
      </x:c>
      <x:c r="F168" t="str">
        <x:v>@ParkerNotes</x:v>
      </x:c>
      <x:c r="G168" s="26" t="str">
        <x:f>IF(OR(COUNTIF('Current Subscriptions'!$B$7:$B$83,E168)&gt;0,COUNTIF('Current Subscriptions'!$C$7:$C$83,F168)&gt;0),"Yes","No")</x:f>
        <x:v>No</x:v>
      </x:c>
      <x:c r="H168" s="26" t="str">
        <x:v>192K views</x:v>
      </x:c>
      <x:c r="I168" s="26" t="str">
        <x:v>8 months ago</x:v>
      </x:c>
      <x:c r="J168" s="26" t="str">
        <x:v>20:37</x:v>
      </x:c>
      <x:c r="K168" s="96" t="str">
        <x:v>https://www.youtube.com/watch?v=izvA2RCVdcA</x:v>
      </x:c>
      <x:c r="L168" s="96" t="str">
        <x:v>https://www.youtube.com/@ParkerNotes</x:v>
      </x:c>
    </x:row>
    <x:row r="169" ht="32" customHeight="1">
      <x:c r="A169" s="26" t="n">
        <x:v>163</x:v>
      </x:c>
      <x:c r="B169" s="26" t="str">
        <x:v>Video</x:v>
      </x:c>
      <x:c r="C169" s="27" t="str">
        <x:v>It's been done before, but not by YOU.</x:v>
      </x:c>
      <x:c r="D169" t="str">
        <x:v>gi-yYZXIZ9I</x:v>
      </x:c>
      <x:c r="E169" t="str">
        <x:v>Nneka Julia</x:v>
      </x:c>
      <x:c r="F169" t="str">
        <x:v>@nnekaj</x:v>
      </x:c>
      <x:c r="G169" s="26" t="str">
        <x:f>IF(OR(COUNTIF('Current Subscriptions'!$B$7:$B$83,E169)&gt;0,COUNTIF('Current Subscriptions'!$C$7:$C$83,F169)&gt;0),"Yes","No")</x:f>
        <x:v>No</x:v>
      </x:c>
      <x:c r="H169" s="26" t="str">
        <x:v>64K views</x:v>
      </x:c>
      <x:c r="I169" s="26" t="str">
        <x:v>3 weeks ago</x:v>
      </x:c>
      <x:c r="J169" s="26" t="str">
        <x:v>5:01</x:v>
      </x:c>
      <x:c r="K169" s="96" t="str">
        <x:v>https://www.youtube.com/watch?v=gi-yYZXIZ9I</x:v>
      </x:c>
      <x:c r="L169" s="96" t="str">
        <x:v>https://www.youtube.com/@nnekaj</x:v>
      </x:c>
    </x:row>
    <x:row r="170" ht="32" customHeight="1">
      <x:c r="A170" s="26" t="n">
        <x:v>164</x:v>
      </x:c>
      <x:c r="B170" s="26" t="str">
        <x:v>Video</x:v>
      </x:c>
      <x:c r="C170" s="27" t="str">
        <x:v>Scrapping for SILVER. It’s everywhere and it’s free!</x:v>
      </x:c>
      <x:c r="D170" t="str">
        <x:v>Q4V8kowHcD4</x:v>
      </x:c>
      <x:c r="E170" t="str">
        <x:v>Tin Man Scrapper</x:v>
      </x:c>
      <x:c r="F170" t="str">
        <x:v>@TinManScrapper</x:v>
      </x:c>
      <x:c r="G170" s="26" t="str">
        <x:f>IF(OR(COUNTIF('Current Subscriptions'!$B$7:$B$83,E170)&gt;0,COUNTIF('Current Subscriptions'!$C$7:$C$83,F170)&gt;0),"Yes","No")</x:f>
        <x:v>No</x:v>
      </x:c>
      <x:c r="H170" s="26" t="str">
        <x:v>746K views</x:v>
      </x:c>
      <x:c r="I170" s="26" t="str">
        <x:v>5 years ago</x:v>
      </x:c>
      <x:c r="J170" s="26" t="str">
        <x:v>13:08</x:v>
      </x:c>
      <x:c r="K170" s="96" t="str">
        <x:v>https://www.youtube.com/watch?v=Q4V8kowHcD4&amp;pp=ugUEEgJlbg%3D%3D</x:v>
      </x:c>
      <x:c r="L170" s="96" t="str">
        <x:v>https://www.youtube.com/@TinManScrapper</x:v>
      </x:c>
    </x:row>
    <x:row r="171" ht="32" customHeight="1">
      <x:c r="A171" s="26" t="n">
        <x:v>165</x:v>
      </x:c>
      <x:c r="B171" s="26" t="str">
        <x:v>Video</x:v>
      </x:c>
      <x:c r="C171" s="27" t="str">
        <x:v>Why I Came Back</x:v>
      </x:c>
      <x:c r="D171" t="str">
        <x:v>EleEAZ2jbFg</x:v>
      </x:c>
      <x:c r="E171" t="str">
        <x:v>Derek Banas</x:v>
      </x:c>
      <x:c r="F171" t="str">
        <x:v>@derekbanas</x:v>
      </x:c>
      <x:c r="G171" s="26" t="str">
        <x:f>IF(OR(COUNTIF('Current Subscriptions'!$B$7:$B$83,E171)&gt;0,COUNTIF('Current Subscriptions'!$C$7:$C$83,F171)&gt;0),"Yes","No")</x:f>
        <x:v>No</x:v>
      </x:c>
      <x:c r="H171" s="26" t="str">
        <x:v>19K views</x:v>
      </x:c>
      <x:c r="I171" s="26" t="str">
        <x:v>5 days ago</x:v>
      </x:c>
      <x:c r="J171" s="26" t="str">
        <x:v>6:48</x:v>
      </x:c>
      <x:c r="K171" s="96" t="str">
        <x:v>https://www.youtube.com/watch?v=EleEAZ2jbFg&amp;pp=ugUEEgJlbg%3D%3D</x:v>
      </x:c>
      <x:c r="L171" s="96" t="str">
        <x:v>https://www.youtube.com/@derekbanas</x:v>
      </x:c>
    </x:row>
    <x:row r="172" ht="32" customHeight="1">
      <x:c r="A172" s="26" t="n">
        <x:v>166</x:v>
      </x:c>
      <x:c r="B172" s="26" t="str">
        <x:v>Video</x:v>
      </x:c>
      <x:c r="C172" s="27" t="str">
        <x:v>The Ending of This Story and the Beginning of a New One</x:v>
      </x:c>
      <x:c r="D172" t="str">
        <x:v>4omkl2HFFNI</x:v>
      </x:c>
      <x:c r="E172" t="str">
        <x:v>Goobie and Doobie</x:v>
      </x:c>
      <x:c r="F172" t="str">
        <x:v>@GoobieAndDoobie</x:v>
      </x:c>
      <x:c r="G172" s="26" t="str">
        <x:f>IF(OR(COUNTIF('Current Subscriptions'!$B$7:$B$83,E172)&gt;0,COUNTIF('Current Subscriptions'!$C$7:$C$83,F172)&gt;0),"Yes","No")</x:f>
        <x:v>No</x:v>
      </x:c>
      <x:c r="H172" s="26" t="str">
        <x:v>82K views</x:v>
      </x:c>
      <x:c r="I172" s="26" t="str">
        <x:v>10 days ago</x:v>
      </x:c>
      <x:c r="J172" s="26" t="str">
        <x:v>24:29</x:v>
      </x:c>
      <x:c r="K172" s="96" t="str">
        <x:v>https://www.youtube.com/watch?v=4omkl2HFFNI&amp;pp=ugUHEgVlbi1VUw%3D%3D</x:v>
      </x:c>
      <x:c r="L172" s="96" t="str">
        <x:v>https://www.youtube.com/@GoobieAndDoobie</x:v>
      </x:c>
    </x:row>
    <x:row r="173" ht="32" customHeight="1">
      <x:c r="A173" s="26" t="n">
        <x:v>167</x:v>
      </x:c>
      <x:c r="B173" s="26" t="str">
        <x:v>Video</x:v>
      </x:c>
      <x:c r="C173" s="27" t="str">
        <x:v>Are We Alone in the Universe? - Hank Green</x:v>
      </x:c>
      <x:c r="D173" t="str">
        <x:v>EgLbYhnK30Y</x:v>
      </x:c>
      <x:c r="E173" t="str">
        <x:v>Alex O'Connor</x:v>
      </x:c>
      <x:c r="F173" t="str">
        <x:v>@CosmicSkeptic</x:v>
      </x:c>
      <x:c r="G173" s="26" t="str">
        <x:f>IF(OR(COUNTIF('Current Subscriptions'!$B$7:$B$83,E173)&gt;0,COUNTIF('Current Subscriptions'!$C$7:$C$83,F173)&gt;0),"Yes","No")</x:f>
        <x:v>No</x:v>
      </x:c>
      <x:c r="H173" s="26" t="str">
        <x:v>1.3M views</x:v>
      </x:c>
      <x:c r="I173" s="26" t="str">
        <x:v>8 months ago</x:v>
      </x:c>
      <x:c r="J173" s="26" t="str">
        <x:v>2:14:10</x:v>
      </x:c>
      <x:c r="K173" s="96" t="str">
        <x:v>https://www.youtube.com/watch?v=EgLbYhnK30Y</x:v>
      </x:c>
      <x:c r="L173" s="96" t="str">
        <x:v>https://www.youtube.com/@CosmicSkeptic</x:v>
      </x:c>
    </x:row>
    <x:row r="174" ht="32" customHeight="1">
      <x:c r="A174" s="26" t="n">
        <x:v>168</x:v>
      </x:c>
      <x:c r="B174" s="26" t="str">
        <x:v>Video</x:v>
      </x:c>
      <x:c r="C174" s="27" t="str">
        <x:v>Help I'm Alive</x:v>
      </x:c>
      <x:c r="D174" t="str">
        <x:v>liYmtzt1lOE</x:v>
      </x:c>
      <x:c r="E174" t="str">
        <x:v>Metric - Topic</x:v>
      </x:c>
      <x:c r="F174" t="str"/>
      <x:c r="G174" s="26" t="str">
        <x:f>IF(OR(COUNTIF('Current Subscriptions'!$B$7:$B$83,E174)&gt;0,COUNTIF('Current Subscriptions'!$C$7:$C$83,F174)&gt;0),"Yes","No")</x:f>
        <x:v>No</x:v>
      </x:c>
      <x:c r="H174" s="26" t="str">
        <x:v>7.4M views</x:v>
      </x:c>
      <x:c r="I174" s="26" t="str">
        <x:v>8 years ago</x:v>
      </x:c>
      <x:c r="J174" s="26" t="str">
        <x:v>4:47</x:v>
      </x:c>
      <x:c r="K174" s="96" t="str">
        <x:v>https://www.youtube.com/watch?v=liYmtzt1lOE</x:v>
      </x:c>
      <x:c r="L174" s="96" t="str">
        <x:v>https://www.youtube.com/channel/UCEDAqx7QPrOUV3Bx9aqUjsw</x:v>
      </x:c>
    </x:row>
    <x:row r="175" ht="32" customHeight="1">
      <x:c r="A175" s="26" t="n">
        <x:v>169</x:v>
      </x:c>
      <x:c r="B175" s="26" t="str">
        <x:v>Video</x:v>
      </x:c>
      <x:c r="C175" s="27" t="str">
        <x:v>Dependency Injection Finally Explained Properly!</x:v>
      </x:c>
      <x:c r="D175" t="str">
        <x:v>HcjrVakEFJM</x:v>
      </x:c>
      <x:c r="E175" t="str">
        <x:v>CsMadeEz</x:v>
      </x:c>
      <x:c r="F175" t="str">
        <x:v>@CsMadeEz</x:v>
      </x:c>
      <x:c r="G175" s="26" t="str">
        <x:f>IF(OR(COUNTIF('Current Subscriptions'!$B$7:$B$83,E175)&gt;0,COUNTIF('Current Subscriptions'!$C$7:$C$83,F175)&gt;0),"Yes","No")</x:f>
        <x:v>No</x:v>
      </x:c>
      <x:c r="H175" s="26" t="str">
        <x:v>26K views</x:v>
      </x:c>
      <x:c r="I175" s="26" t="str">
        <x:v>1 month ago</x:v>
      </x:c>
      <x:c r="J175" s="26" t="str">
        <x:v>15:09</x:v>
      </x:c>
      <x:c r="K175" s="96" t="str">
        <x:v>https://www.youtube.com/watch?v=HcjrVakEFJM&amp;pp=ugUEEgJlbtIHCQkTDAGHKiGM7w%3D%3D</x:v>
      </x:c>
      <x:c r="L175" s="96" t="str">
        <x:v>https://www.youtube.com/@CsMadeEz</x:v>
      </x:c>
    </x:row>
    <x:row r="176" ht="32" customHeight="1">
      <x:c r="A176" s="26" t="n">
        <x:v>170</x:v>
      </x:c>
      <x:c r="B176" s="26" t="str">
        <x:v>Video</x:v>
      </x:c>
      <x:c r="C176" s="27" t="str">
        <x:v>I Bought And Restored "Old" Technology To Prove The Economy Is Imploding</x:v>
      </x:c>
      <x:c r="D176" t="str">
        <x:v>C_0xBbEFjLk</x:v>
      </x:c>
      <x:c r="E176" t="str">
        <x:v>Quincy Sandbank</x:v>
      </x:c>
      <x:c r="F176" t="str">
        <x:v>@Qsandbank</x:v>
      </x:c>
      <x:c r="G176" s="26" t="str">
        <x:f>IF(OR(COUNTIF('Current Subscriptions'!$B$7:$B$83,E176)&gt;0,COUNTIF('Current Subscriptions'!$C$7:$C$83,F176)&gt;0),"Yes","No")</x:f>
        <x:v>No</x:v>
      </x:c>
      <x:c r="H176" s="26" t="str">
        <x:v>3.1M views</x:v>
      </x:c>
      <x:c r="I176" s="26" t="str">
        <x:v>1 month ago</x:v>
      </x:c>
      <x:c r="J176" s="26" t="str">
        <x:v>1:05:08</x:v>
      </x:c>
      <x:c r="K176" s="96" t="str">
        <x:v>https://www.youtube.com/watch?v=C_0xBbEFjLk&amp;pp=ugUEEgJlbg%3D%3D</x:v>
      </x:c>
      <x:c r="L176" s="96" t="str">
        <x:v>https://www.youtube.com/@Qsandbank</x:v>
      </x:c>
    </x:row>
    <x:row r="177" ht="32" customHeight="1">
      <x:c r="A177" s="26" t="n">
        <x:v>171</x:v>
      </x:c>
      <x:c r="B177" s="26" t="str">
        <x:v>Video</x:v>
      </x:c>
      <x:c r="C177" s="27" t="str">
        <x:v>The "Self-Help" Scam</x:v>
      </x:c>
      <x:c r="D177" t="str">
        <x:v>NCYoisbjJy0</x:v>
      </x:c>
      <x:c r="E177" t="str">
        <x:v>Shameless Nerd</x:v>
      </x:c>
      <x:c r="F177" t="str">
        <x:v>@shamelessnerd</x:v>
      </x:c>
      <x:c r="G177" s="26" t="str">
        <x:f>IF(OR(COUNTIF('Current Subscriptions'!$B$7:$B$83,E177)&gt;0,COUNTIF('Current Subscriptions'!$C$7:$C$83,F177)&gt;0),"Yes","No")</x:f>
        <x:v>No</x:v>
      </x:c>
      <x:c r="H177" s="26" t="str">
        <x:v>10K views</x:v>
      </x:c>
      <x:c r="I177" s="26" t="str">
        <x:v>2 days ago</x:v>
      </x:c>
      <x:c r="J177" s="26" t="str">
        <x:v>18:27</x:v>
      </x:c>
      <x:c r="K177" s="96" t="str">
        <x:v>https://www.youtube.com/watch?v=NCYoisbjJy0&amp;pp=ugUHEgVlbi1VUw%3D%3D</x:v>
      </x:c>
      <x:c r="L177" s="96" t="str">
        <x:v>https://www.youtube.com/@shamelessnerd</x:v>
      </x:c>
    </x:row>
    <x:row r="178" ht="32" customHeight="1">
      <x:c r="A178" s="26" t="n">
        <x:v>172</x:v>
      </x:c>
      <x:c r="B178" s="26" t="str">
        <x:v>Video</x:v>
      </x:c>
      <x:c r="C178" s="27" t="str">
        <x:v>Not this again</x:v>
      </x:c>
      <x:c r="D178" t="str">
        <x:v>Xk1lqrLxbzc</x:v>
      </x:c>
      <x:c r="E178" t="str">
        <x:v>NeetCode</x:v>
      </x:c>
      <x:c r="F178" t="str">
        <x:v>@NeetCode</x:v>
      </x:c>
      <x:c r="G178" s="26" t="str">
        <x:f>IF(OR(COUNTIF('Current Subscriptions'!$B$7:$B$83,E178)&gt;0,COUNTIF('Current Subscriptions'!$C$7:$C$83,F178)&gt;0),"Yes","No")</x:f>
        <x:v>No</x:v>
      </x:c>
      <x:c r="H178" s="26" t="str">
        <x:v>66K views</x:v>
      </x:c>
      <x:c r="I178" s="26" t="str">
        <x:v>1 day ago</x:v>
      </x:c>
      <x:c r="J178" s="26" t="str">
        <x:v>21:57</x:v>
      </x:c>
      <x:c r="K178" s="96" t="str">
        <x:v>https://www.youtube.com/watch?v=Xk1lqrLxbzc&amp;pp=ugUEEgJlbg%3D%3D</x:v>
      </x:c>
      <x:c r="L178" s="96" t="str">
        <x:v>https://www.youtube.com/@NeetCode</x:v>
      </x:c>
    </x:row>
    <x:row r="179" ht="32" customHeight="1">
      <x:c r="A179" s="26" t="n">
        <x:v>173</x:v>
      </x:c>
      <x:c r="B179" s="26" t="str">
        <x:v>Video</x:v>
      </x:c>
      <x:c r="C179" s="27" t="str">
        <x:v>there will be no closure</x:v>
      </x:c>
      <x:c r="D179" t="str">
        <x:v>kyF_zPraPiI</x:v>
      </x:c>
      <x:c r="E179" t="str">
        <x:v>Sisyphus 55</x:v>
      </x:c>
      <x:c r="F179" t="str">
        <x:v>@Sisyphus55</x:v>
      </x:c>
      <x:c r="G179" s="26" t="str">
        <x:f>IF(OR(COUNTIF('Current Subscriptions'!$B$7:$B$83,E179)&gt;0,COUNTIF('Current Subscriptions'!$C$7:$C$83,F179)&gt;0),"Yes","No")</x:f>
        <x:v>No</x:v>
      </x:c>
      <x:c r="H179" s="26" t="str">
        <x:v>27K views</x:v>
      </x:c>
      <x:c r="I179" s="26" t="str">
        <x:v>4 days ago</x:v>
      </x:c>
      <x:c r="J179" s="26" t="str">
        <x:v>5:47</x:v>
      </x:c>
      <x:c r="K179" s="96" t="str">
        <x:v>https://www.youtube.com/watch?v=kyF_zPraPiI&amp;pp=ugUHEgVlbi1DQQ%3D%3D</x:v>
      </x:c>
      <x:c r="L179" s="96" t="str">
        <x:v>https://www.youtube.com/@Sisyphus55</x:v>
      </x:c>
    </x:row>
    <x:row r="180" ht="32" customHeight="1">
      <x:c r="A180" s="26" t="n">
        <x:v>174</x:v>
      </x:c>
      <x:c r="B180" s="26" t="str">
        <x:v>Video</x:v>
      </x:c>
      <x:c r="C180" s="27" t="str">
        <x:v>Kristen Stewart Thinks Hollywood Is Stuck in ‘Capitalist Hell’ | The Interview</x:v>
      </x:c>
      <x:c r="D180" t="str">
        <x:v>YY5tIJpH0YE</x:v>
      </x:c>
      <x:c r="E180" t="str">
        <x:v>The Interview</x:v>
      </x:c>
      <x:c r="F180" t="str">
        <x:v>@theinterviewpodcast</x:v>
      </x:c>
      <x:c r="G180" s="26" t="str">
        <x:f>IF(OR(COUNTIF('Current Subscriptions'!$B$7:$B$83,E180)&gt;0,COUNTIF('Current Subscriptions'!$C$7:$C$83,F180)&gt;0),"Yes","No")</x:f>
        <x:v>No</x:v>
      </x:c>
      <x:c r="H180" s="26" t="str">
        <x:v>Kristen Stewart Thinks Hollywood Is Stuck in ‘Capitalist Hell’ | The Interview</x:v>
      </x:c>
      <x:c r="I180" s="26" t="str">
        <x:v>8 months ago</x:v>
      </x:c>
      <x:c r="J180" s="26" t="str">
        <x:v>50:52</x:v>
      </x:c>
      <x:c r="K180" s="96" t="str">
        <x:v>https://www.youtube.com/watch?v=YY5tIJpH0YE&amp;pp=ugUEEgJlbtIHCQkTDAGHKiGM7w%3D%3D</x:v>
      </x:c>
      <x:c r="L180" s="96" t="str">
        <x:v>https://www.youtube.com/@theinterviewpodcast</x:v>
      </x:c>
    </x:row>
    <x:row r="181" ht="32" customHeight="1">
      <x:c r="A181" s="26" t="n">
        <x:v>175</x:v>
      </x:c>
      <x:c r="B181" s="26" t="str">
        <x:v>Video</x:v>
      </x:c>
      <x:c r="C181" s="27" t="str">
        <x:v>What Is The Best Butane Insert For Zippo ?</x:v>
      </x:c>
      <x:c r="D181" t="str">
        <x:v>3jVrHvv7WwM</x:v>
      </x:c>
      <x:c r="E181" t="str">
        <x:v>Zippo Fanatic 77 Outdoors</x:v>
      </x:c>
      <x:c r="F181" t="str">
        <x:v>@Zippofanatic77outdoors</x:v>
      </x:c>
      <x:c r="G181" s="26" t="str">
        <x:f>IF(OR(COUNTIF('Current Subscriptions'!$B$7:$B$83,E181)&gt;0,COUNTIF('Current Subscriptions'!$C$7:$C$83,F181)&gt;0),"Yes","No")</x:f>
        <x:v>No</x:v>
      </x:c>
      <x:c r="H181" s="26" t="str">
        <x:v>183K views</x:v>
      </x:c>
      <x:c r="I181" s="26" t="str">
        <x:v>4 years ago</x:v>
      </x:c>
      <x:c r="J181" s="26" t="str">
        <x:v>21:28</x:v>
      </x:c>
      <x:c r="K181" s="96" t="str">
        <x:v>https://www.youtube.com/watch?v=3jVrHvv7WwM</x:v>
      </x:c>
      <x:c r="L181" s="96" t="str">
        <x:v>https://www.youtube.com/@Zippofanatic77outdoors</x:v>
      </x:c>
    </x:row>
    <x:row r="182" ht="32" customHeight="1">
      <x:c r="A182" s="26" t="n">
        <x:v>176</x:v>
      </x:c>
      <x:c r="B182" s="26" t="str">
        <x:v>Video</x:v>
      </x:c>
      <x:c r="C182" s="27" t="str">
        <x:v>Why Modern Lighting Feels Bad (and How I Fixed It)</x:v>
      </x:c>
      <x:c r="D182" t="str">
        <x:v>WQ62_J6gp8o</x:v>
      </x:c>
      <x:c r="E182" t="str">
        <x:v>Enody</x:v>
      </x:c>
      <x:c r="F182" t="str">
        <x:v>@enodylighting</x:v>
      </x:c>
      <x:c r="G182" s="26" t="str">
        <x:f>IF(OR(COUNTIF('Current Subscriptions'!$B$7:$B$83,E182)&gt;0,COUNTIF('Current Subscriptions'!$C$7:$C$83,F182)&gt;0),"Yes","No")</x:f>
        <x:v>No</x:v>
      </x:c>
      <x:c r="H182" s="26" t="str">
        <x:v>35K views</x:v>
      </x:c>
      <x:c r="I182" s="26" t="str">
        <x:v>3 weeks ago</x:v>
      </x:c>
      <x:c r="J182" s="26" t="str">
        <x:v>19:55</x:v>
      </x:c>
      <x:c r="K182" s="96" t="str">
        <x:v>https://www.youtube.com/watch?v=WQ62_J6gp8o</x:v>
      </x:c>
      <x:c r="L182" s="96" t="str">
        <x:v>https://www.youtube.com/@enodylighting</x:v>
      </x:c>
    </x:row>
    <x:row r="183" ht="32" customHeight="1">
      <x:c r="A183" s="26" t="n">
        <x:v>177</x:v>
      </x:c>
      <x:c r="B183" s="26" t="str">
        <x:v>Video</x:v>
      </x:c>
      <x:c r="C183" s="27" t="str">
        <x:v>Remembering 10 Years of /noclip</x:v>
      </x:c>
      <x:c r="D183" t="str">
        <x:v>EY-HmdHrUN8</x:v>
      </x:c>
      <x:c r="E183" t="str">
        <x:v>/noclip</x:v>
      </x:c>
      <x:c r="F183" t="str">
        <x:v>@NoclipDocs</x:v>
      </x:c>
      <x:c r="G183" s="26" t="str">
        <x:f>IF(OR(COUNTIF('Current Subscriptions'!$B$7:$B$83,E183)&gt;0,COUNTIF('Current Subscriptions'!$C$7:$C$83,F183)&gt;0),"Yes","No")</x:f>
        <x:v>Yes</x:v>
      </x:c>
      <x:c r="H183" s="26" t="str">
        <x:v>16K views</x:v>
      </x:c>
      <x:c r="I183" s="26" t="str">
        <x:v>2 days ago</x:v>
      </x:c>
      <x:c r="J183" s="26" t="str">
        <x:v>10:01</x:v>
      </x:c>
      <x:c r="K183" s="96" t="str">
        <x:v>https://www.youtube.com/watch?v=EY-HmdHrUN8</x:v>
      </x:c>
      <x:c r="L183" s="96" t="str">
        <x:v>https://www.youtube.com/@NoclipDocs</x:v>
      </x:c>
    </x:row>
    <x:row r="184" ht="32" customHeight="1">
      <x:c r="A184" s="26" t="n">
        <x:v>178</x:v>
      </x:c>
      <x:c r="B184" s="26" t="str">
        <x:v>Video</x:v>
      </x:c>
      <x:c r="C184" s="27" t="str">
        <x:v>Abantu (feat. LeeMcKrazy, Zee Nxumalo, FLUXX)</x:v>
      </x:c>
      <x:c r="D184" t="str">
        <x:v>9O-JsGCtVjo</x:v>
      </x:c>
      <x:c r="E184" t="str">
        <x:v>Piano City - Topic</x:v>
      </x:c>
      <x:c r="F184" t="str"/>
      <x:c r="G184" s="26" t="str">
        <x:f>IF(OR(COUNTIF('Current Subscriptions'!$B$7:$B$83,E184)&gt;0,COUNTIF('Current Subscriptions'!$C$7:$C$83,F184)&gt;0),"Yes","No")</x:f>
        <x:v>No</x:v>
      </x:c>
      <x:c r="H184" s="26" t="str">
        <x:v>953K views</x:v>
      </x:c>
      <x:c r="I184" s="26" t="str">
        <x:v>2 years ago</x:v>
      </x:c>
      <x:c r="J184" s="26" t="str">
        <x:v>6:53</x:v>
      </x:c>
      <x:c r="K184" s="96" t="str">
        <x:v>https://www.youtube.com/watch?v=9O-JsGCtVjo</x:v>
      </x:c>
      <x:c r="L184" s="96" t="str">
        <x:v>https://www.youtube.com/channel/UCJ-raAZOiKSltfgtHy9MyaA</x:v>
      </x:c>
    </x:row>
    <x:row r="185" ht="32" customHeight="1">
      <x:c r="A185" s="26" t="n">
        <x:v>179</x:v>
      </x:c>
      <x:c r="B185" s="26" t="str">
        <x:v>Video</x:v>
      </x:c>
      <x:c r="C185" s="27" t="str">
        <x:v>VINCE STAPLES IS AN ICONIC GUEST | ZIWE INTERVIEW</x:v>
      </x:c>
      <x:c r="D185" t="str">
        <x:v>3w07rZf8Lbw</x:v>
      </x:c>
      <x:c r="E185" t="str">
        <x:v>Ziwe</x:v>
      </x:c>
      <x:c r="F185" t="str">
        <x:v>@ziwe</x:v>
      </x:c>
      <x:c r="G185" s="26" t="str">
        <x:f>IF(OR(COUNTIF('Current Subscriptions'!$B$7:$B$83,E185)&gt;0,COUNTIF('Current Subscriptions'!$C$7:$C$83,F185)&gt;0),"Yes","No")</x:f>
        <x:v>No</x:v>
      </x:c>
      <x:c r="H185" s="26" t="str">
        <x:v>VINCE STAPLES IS AN ICONIC GUEST | ZIWE INTERVIEW</x:v>
      </x:c>
      <x:c r="I185" s="26" t="str">
        <x:v>8 months ago</x:v>
      </x:c>
      <x:c r="J185" s="26" t="str">
        <x:v>23:41</x:v>
      </x:c>
      <x:c r="K185" s="96" t="str">
        <x:v>https://www.youtube.com/watch?v=3w07rZf8Lbw</x:v>
      </x:c>
      <x:c r="L185" s="96" t="str">
        <x:v>https://www.youtube.com/@ziwe</x:v>
      </x:c>
    </x:row>
    <x:row r="186" ht="32" customHeight="1">
      <x:c r="A186" s="26" t="n">
        <x:v>180</x:v>
      </x:c>
      <x:c r="B186" s="26" t="str">
        <x:v>Video</x:v>
      </x:c>
      <x:c r="C186" s="27" t="str">
        <x:v>Monkey Slept 4 Hours. Can Monkey Make It Feel Like 8?</x:v>
      </x:c>
      <x:c r="D186" t="str">
        <x:v>WSnvLfW8ZBU</x:v>
      </x:c>
      <x:c r="E186" t="str">
        <x:v>Monkey Mind 101</x:v>
      </x:c>
      <x:c r="F186" t="str">
        <x:v>@monkeymind-101</x:v>
      </x:c>
      <x:c r="G186" s="26" t="str">
        <x:f>IF(OR(COUNTIF('Current Subscriptions'!$B$7:$B$83,E186)&gt;0,COUNTIF('Current Subscriptions'!$C$7:$C$83,F186)&gt;0),"Yes","No")</x:f>
        <x:v>No</x:v>
      </x:c>
      <x:c r="H186" s="26" t="str">
        <x:v>8.8K views</x:v>
      </x:c>
      <x:c r="I186" s="26" t="str">
        <x:v>2 days ago</x:v>
      </x:c>
      <x:c r="J186" s="26" t="str">
        <x:v>9:07</x:v>
      </x:c>
      <x:c r="K186" s="96" t="str">
        <x:v>https://www.youtube.com/watch?v=WSnvLfW8ZBU&amp;pp=ugUEEgJlbg%3D%3D</x:v>
      </x:c>
      <x:c r="L186" s="96" t="str">
        <x:v>https://www.youtube.com/@monkeymind-101</x:v>
      </x:c>
    </x:row>
    <x:row r="187" ht="32" customHeight="1">
      <x:c r="A187" s="26" t="n">
        <x:v>181</x:v>
      </x:c>
      <x:c r="B187" s="26" t="str">
        <x:v>Video</x:v>
      </x:c>
      <x:c r="C187" s="27" t="str">
        <x:v>🔴 Ram Dass 24/7 Lofi Radio - beats to chill to</x:v>
      </x:c>
      <x:c r="D187" t="str">
        <x:v>f5wZBwhpHaQ</x:v>
      </x:c>
      <x:c r="E187" t="str">
        <x:v>Baba Ram Dass</x:v>
      </x:c>
      <x:c r="F187" t="str">
        <x:v>@BabaRamDassChannel</x:v>
      </x:c>
      <x:c r="G187" s="26" t="str">
        <x:f>IF(OR(COUNTIF('Current Subscriptions'!$B$7:$B$83,E187)&gt;0,COUNTIF('Current Subscriptions'!$C$7:$C$83,F187)&gt;0),"Yes","No")</x:f>
        <x:v>No</x:v>
      </x:c>
      <x:c r="H187" s="26" t="str">
        <x:v>32 watching</x:v>
      </x:c>
      <x:c r="I187" s="26" t="str"/>
      <x:c r="J187" s="26" t="str"/>
      <x:c r="K187" s="96" t="str">
        <x:v>https://www.youtube.com/watch?v=f5wZBwhpHaQ</x:v>
      </x:c>
      <x:c r="L187" s="96" t="str">
        <x:v>https://www.youtube.com/@BabaRamDassChannel</x:v>
      </x:c>
    </x:row>
    <x:row r="188" ht="32" customHeight="1">
      <x:c r="A188" s="26" t="n">
        <x:v>182</x:v>
      </x:c>
      <x:c r="B188" s="26" t="str">
        <x:v>Mix</x:v>
      </x:c>
      <x:c r="C188" s="27" t="str">
        <x:v>Mix - Alpha Meditation</x:v>
      </x:c>
      <x:c r="D188" t="str">
        <x:v>PFvLXQWVmJQ</x:v>
      </x:c>
      <x:c r="E188" t="str">
        <x:v>Brainbox - Topic</x:v>
      </x:c>
      <x:c r="F188" t="str"/>
      <x:c r="G188" s="26" t="str">
        <x:f>IF(OR(COUNTIF('Current Subscriptions'!$B$7:$B$83,E188)&gt;0,COUNTIF('Current Subscriptions'!$C$7:$C$83,F188)&gt;0),"Yes","No")</x:f>
        <x:v>No</x:v>
      </x:c>
      <x:c r="H188" s="26" t="str"/>
      <x:c r="I188" s="26" t="str"/>
      <x:c r="J188" s="26" t="str"/>
      <x:c r="K188" s="96" t="str">
        <x:v>https://www.youtube.com/watch?v=PFvLXQWVmJQ&amp;list=RDPFvLXQWVmJQ&amp;start_radio=1&amp;pp=0gcJCf4COCosWNin</x:v>
      </x:c>
      <x:c r="L188" s="96" t="str">
        <x:v>https://www.youtube.com/channel/UCHdGce8iSOfXH2MnKgKXoew</x:v>
      </x:c>
    </x:row>
    <x:row r="189" ht="32" customHeight="1">
      <x:c r="A189" s="26" t="n">
        <x:v>183</x:v>
      </x:c>
      <x:c r="B189" s="26" t="str">
        <x:v>Video</x:v>
      </x:c>
      <x:c r="C189" s="27" t="str">
        <x:v>50 Goes #1 on Netflix with Diddy Doc</x:v>
      </x:c>
      <x:c r="D189" t="str">
        <x:v>ZlAgdQaUt38</x:v>
      </x:c>
      <x:c r="E189" t="str">
        <x:v>Josh Johnson</x:v>
      </x:c>
      <x:c r="F189" t="str">
        <x:v>@JoshJohnsonComedy</x:v>
      </x:c>
      <x:c r="G189" s="26" t="str">
        <x:f>IF(OR(COUNTIF('Current Subscriptions'!$B$7:$B$83,E189)&gt;0,COUNTIF('Current Subscriptions'!$C$7:$C$83,F189)&gt;0),"Yes","No")</x:f>
        <x:v>No</x:v>
      </x:c>
      <x:c r="H189" s="26" t="str">
        <x:v>3.8M views</x:v>
      </x:c>
      <x:c r="I189" s="26" t="str">
        <x:v>8 months ago</x:v>
      </x:c>
      <x:c r="J189" s="26" t="str">
        <x:v>1:02:39</x:v>
      </x:c>
      <x:c r="K189" s="96" t="str">
        <x:v>https://www.youtube.com/watch?v=ZlAgdQaUt38</x:v>
      </x:c>
      <x:c r="L189" s="96" t="str">
        <x:v>https://www.youtube.com/@JoshJohnsonComedy</x:v>
      </x:c>
    </x:row>
    <x:row r="190" ht="32" customHeight="1">
      <x:c r="A190" s="26" t="n">
        <x:v>184</x:v>
      </x:c>
      <x:c r="B190" s="26" t="str">
        <x:v>Video</x:v>
      </x:c>
      <x:c r="C190" s="27" t="str">
        <x:v>Can I make an A/C out of clay? (3.0)</x:v>
      </x:c>
      <x:c r="D190" t="str">
        <x:v>F9w5QpdToos</x:v>
      </x:c>
      <x:c r="E190" t="str">
        <x:v>Pottery to the People</x:v>
      </x:c>
      <x:c r="F190" t="str">
        <x:v>@PotterytothePeople</x:v>
      </x:c>
      <x:c r="G190" s="26" t="str">
        <x:f>IF(OR(COUNTIF('Current Subscriptions'!$B$7:$B$83,E190)&gt;0,COUNTIF('Current Subscriptions'!$C$7:$C$83,F190)&gt;0),"Yes","No")</x:f>
        <x:v>No</x:v>
      </x:c>
      <x:c r="H190" s="26" t="str">
        <x:v>430K views</x:v>
      </x:c>
      <x:c r="I190" s="26" t="str">
        <x:v>1 year ago</x:v>
      </x:c>
      <x:c r="J190" s="26" t="str">
        <x:v>41:31</x:v>
      </x:c>
      <x:c r="K190" s="96" t="str">
        <x:v>https://www.youtube.com/watch?v=F9w5QpdToos</x:v>
      </x:c>
      <x:c r="L190" s="96" t="str">
        <x:v>https://www.youtube.com/@PotterytothePeople</x:v>
      </x:c>
    </x:row>
    <x:row r="191" ht="32" customHeight="1">
      <x:c r="A191" s="26" t="n">
        <x:v>185</x:v>
      </x:c>
      <x:c r="B191" s="26" t="str">
        <x:v>Video</x:v>
      </x:c>
      <x:c r="C191" s="27" t="str">
        <x:v>ZORRO vs. ZIPPO 2 year update! ONE BROKE....can YOU guess which one????</x:v>
      </x:c>
      <x:c r="D191" t="str">
        <x:v>E6RQZIW-W3I</x:v>
      </x:c>
      <x:c r="E191" t="str">
        <x:v>Watch Geek</x:v>
      </x:c>
      <x:c r="F191" t="str">
        <x:v>@WatchGeek</x:v>
      </x:c>
      <x:c r="G191" s="26" t="str">
        <x:f>IF(OR(COUNTIF('Current Subscriptions'!$B$7:$B$83,E191)&gt;0,COUNTIF('Current Subscriptions'!$C$7:$C$83,F191)&gt;0),"Yes","No")</x:f>
        <x:v>No</x:v>
      </x:c>
      <x:c r="H191" s="26" t="str">
        <x:v>17K views</x:v>
      </x:c>
      <x:c r="I191" s="26" t="str">
        <x:v>9 months ago</x:v>
      </x:c>
      <x:c r="J191" s="26" t="str">
        <x:v>7:54</x:v>
      </x:c>
      <x:c r="K191" s="96" t="str">
        <x:v>https://www.youtube.com/watch?v=E6RQZIW-W3I&amp;pp=ugUEEgJlbg%3D%3D</x:v>
      </x:c>
      <x:c r="L191" s="96" t="str">
        <x:v>https://www.youtube.com/@WatchGeek</x:v>
      </x:c>
    </x:row>
    <x:row r="192" ht="32" customHeight="1">
      <x:c r="A192" s="26" t="n">
        <x:v>186</x:v>
      </x:c>
      <x:c r="B192" s="26" t="str">
        <x:v>Video</x:v>
      </x:c>
      <x:c r="C192" s="27" t="str">
        <x:v>Passengers</x:v>
      </x:c>
      <x:c r="D192" t="str">
        <x:v>GovG7hacF8g</x:v>
      </x:c>
      <x:c r="E192" t="str">
        <x:v>YouTube Movies</x:v>
      </x:c>
      <x:c r="F192" t="str"/>
      <x:c r="G192" s="26" t="str">
        <x:f>IF(OR(COUNTIF('Current Subscriptions'!$B$7:$B$83,E192)&gt;0,COUNTIF('Current Subscriptions'!$C$7:$C$83,F192)&gt;0),"Yes","No")</x:f>
        <x:v>No</x:v>
      </x:c>
      <x:c r="H192" s="26" t="str"/>
      <x:c r="I192" s="26" t="str"/>
      <x:c r="J192" s="26" t="str">
        <x:v>1:56:10</x:v>
      </x:c>
      <x:c r="K192" s="96" t="str">
        <x:v>https://www.youtube.com/watch?v=GovG7hacF8g&amp;pp=sAQB</x:v>
      </x:c>
      <x:c r="L192" s="96" t="str">
        <x:v>https://www.youtube.com/channel/UCuVPpxrm2VAgpH3Ktln4HXg</x:v>
      </x:c>
    </x:row>
    <x:row r="193" ht="32" customHeight="1">
      <x:c r="A193" s="26" t="n">
        <x:v>187</x:v>
      </x:c>
      <x:c r="B193" s="26" t="str">
        <x:v>Video</x:v>
      </x:c>
      <x:c r="C193" s="27" t="str">
        <x:v>Fred again.. - Rooftop Live (Arun’s Roof, London)</x:v>
      </x:c>
      <x:c r="D193" t="str">
        <x:v>6MAzUT1YhWE</x:v>
      </x:c>
      <x:c r="E193" t="str">
        <x:v>Fred again . .</x:v>
      </x:c>
      <x:c r="F193" t="str">
        <x:v>@Fredagainagain</x:v>
      </x:c>
      <x:c r="G193" s="26" t="str">
        <x:f>IF(OR(COUNTIF('Current Subscriptions'!$B$7:$B$83,E193)&gt;0,COUNTIF('Current Subscriptions'!$C$7:$C$83,F193)&gt;0),"Yes","No")</x:f>
        <x:v>No</x:v>
      </x:c>
      <x:c r="H193" s="26" t="str">
        <x:v>29M views</x:v>
      </x:c>
      <x:c r="I193" s="26" t="str">
        <x:v>2 years ago</x:v>
      </x:c>
      <x:c r="J193" s="26" t="str">
        <x:v>1:42:08</x:v>
      </x:c>
      <x:c r="K193" s="96" t="str">
        <x:v>https://www.youtube.com/watch?v=6MAzUT1YhWE&amp;t=5905s</x:v>
      </x:c>
      <x:c r="L193" s="96" t="str">
        <x:v>https://www.youtube.com/@Fredagainagain</x:v>
      </x:c>
    </x:row>
    <x:row r="194" ht="32" customHeight="1">
      <x:c r="A194" s="26" t="n">
        <x:v>188</x:v>
      </x:c>
      <x:c r="B194" s="26" t="str">
        <x:v>Video</x:v>
      </x:c>
      <x:c r="C194" s="27" t="str">
        <x:v>Onam festival panjurli dev full sketch</x:v>
      </x:c>
      <x:c r="D194" t="str">
        <x:v>he2R4kkebHc</x:v>
      </x:c>
      <x:c r="E194" t="str">
        <x:v>AratiDrawingDiarys</x:v>
      </x:c>
      <x:c r="F194" t="str">
        <x:v>@AratiDrawingDiarys</x:v>
      </x:c>
      <x:c r="G194" s="26" t="str">
        <x:f>IF(OR(COUNTIF('Current Subscriptions'!$B$7:$B$83,E194)&gt;0,COUNTIF('Current Subscriptions'!$C$7:$C$83,F194)&gt;0),"Yes","No")</x:f>
        <x:v>No</x:v>
      </x:c>
      <x:c r="H194" s="26" t="str">
        <x:v>53 views</x:v>
      </x:c>
      <x:c r="I194" s="26" t="str">
        <x:v>11 hours ago</x:v>
      </x:c>
      <x:c r="J194" s="26" t="str">
        <x:v>4:41</x:v>
      </x:c>
      <x:c r="K194" s="96" t="str">
        <x:v>https://www.youtube.com/watch?v=he2R4kkebHc</x:v>
      </x:c>
      <x:c r="L194" s="96" t="str">
        <x:v>https://www.youtube.com/@AratiDrawingDiarys</x:v>
      </x:c>
    </x:row>
    <x:row r="195" ht="32" customHeight="1">
      <x:c r="A195" s="26" t="n">
        <x:v>189</x:v>
      </x:c>
      <x:c r="B195" s="26" t="str">
        <x:v>Video</x:v>
      </x:c>
      <x:c r="C195" s="27" t="str">
        <x:v>George W. Bush Was A Bad President And Guy - SOME MORE NEWS</x:v>
      </x:c>
      <x:c r="D195" t="str">
        <x:v>IvYAqC0_HXI</x:v>
      </x:c>
      <x:c r="E195" t="str">
        <x:v>Some More News</x:v>
      </x:c>
      <x:c r="F195" t="str">
        <x:v>@SMN</x:v>
      </x:c>
      <x:c r="G195" s="26" t="str">
        <x:f>IF(OR(COUNTIF('Current Subscriptions'!$B$7:$B$83,E195)&gt;0,COUNTIF('Current Subscriptions'!$C$7:$C$83,F195)&gt;0),"Yes","No")</x:f>
        <x:v>No</x:v>
      </x:c>
      <x:c r="H195" s="26" t="str">
        <x:v>423K views</x:v>
      </x:c>
      <x:c r="I195" s="26" t="str">
        <x:v>8 months ago</x:v>
      </x:c>
      <x:c r="J195" s="26" t="str">
        <x:v>1:15:41</x:v>
      </x:c>
      <x:c r="K195" s="96" t="str">
        <x:v>https://www.youtube.com/watch?v=IvYAqC0_HXI&amp;pp=ugUEEgJlbg%3D%3D</x:v>
      </x:c>
      <x:c r="L195" s="96" t="str">
        <x:v>https://www.youtube.com/@SMN</x:v>
      </x:c>
    </x:row>
    <x:row r="196" ht="32" customHeight="1">
      <x:c r="A196" s="26" t="n">
        <x:v>190</x:v>
      </x:c>
      <x:c r="B196" s="26" t="str">
        <x:v>Video</x:v>
      </x:c>
      <x:c r="C196" s="27" t="str">
        <x:v>Jony Ive Shows The Real Process Behind the Ferrari Luce</x:v>
      </x:c>
      <x:c r="D196" t="str">
        <x:v>K-o0r2zSgCE</x:v>
      </x:c>
      <x:c r="E196" t="str">
        <x:v>Cleo Abram</x:v>
      </x:c>
      <x:c r="F196" t="str">
        <x:v>@CleoAbram</x:v>
      </x:c>
      <x:c r="G196" s="26" t="str">
        <x:f>IF(OR(COUNTIF('Current Subscriptions'!$B$7:$B$83,E196)&gt;0,COUNTIF('Current Subscriptions'!$C$7:$C$83,F196)&gt;0),"Yes","No")</x:f>
        <x:v>No</x:v>
      </x:c>
      <x:c r="H196" s="26" t="str">
        <x:v>968K views</x:v>
      </x:c>
      <x:c r="I196" s="26" t="str">
        <x:v>3 months ago</x:v>
      </x:c>
      <x:c r="J196" s="26" t="str">
        <x:v>45:17</x:v>
      </x:c>
      <x:c r="K196" s="96" t="str">
        <x:v>https://www.youtube.com/watch?v=K-o0r2zSgCE</x:v>
      </x:c>
      <x:c r="L196" s="96" t="str">
        <x:v>https://www.youtube.com/@CleoAbram</x:v>
      </x:c>
    </x:row>
    <x:row r="197" ht="32" customHeight="1">
      <x:c r="A197" s="26" t="n">
        <x:v>191</x:v>
      </x:c>
      <x:c r="B197" s="26" t="str">
        <x:v>Mix</x:v>
      </x:c>
      <x:c r="C197" s="27" t="str">
        <x:v>French Podcast</x:v>
      </x:c>
      <x:c r="D197" t="str">
        <x:v>SoNVhw0Q-x8</x:v>
      </x:c>
      <x:c r="E197" t="str">
        <x:v>Easy French Talk</x:v>
      </x:c>
      <x:c r="F197" t="str">
        <x:v>@EasyFrenchTalk</x:v>
      </x:c>
      <x:c r="G197" s="26" t="str">
        <x:f>IF(OR(COUNTIF('Current Subscriptions'!$B$7:$B$83,E197)&gt;0,COUNTIF('Current Subscriptions'!$C$7:$C$83,F197)&gt;0),"Yes","No")</x:f>
        <x:v>No</x:v>
      </x:c>
      <x:c r="H197" s="26" t="str"/>
      <x:c r="I197" s="26" t="str"/>
      <x:c r="J197" s="26" t="str"/>
      <x:c r="K197" s="96" t="str">
        <x:v>https://www.youtube.com/watch?v=SoNVhw0Q-x8&amp;list=PLSQlJnU3v_eV-1aGfOpLC9Ir5C9tBh2HA</x:v>
      </x:c>
      <x:c r="L197" s="96" t="str">
        <x:v>https://www.youtube.com/@EasyFrenchTalk</x:v>
      </x:c>
    </x:row>
    <x:row r="198" ht="32" customHeight="1">
      <x:c r="A198" s="26" t="n">
        <x:v>192</x:v>
      </x:c>
      <x:c r="B198" s="26" t="str">
        <x:v>Video</x:v>
      </x:c>
      <x:c r="C198" s="27" t="str">
        <x:v>Why the next 25 years could surpass anything in modern memory | Peter Leyden: Full Interview</x:v>
      </x:c>
      <x:c r="D198" t="str">
        <x:v>D0DUzZItVyI</x:v>
      </x:c>
      <x:c r="E198" t="str">
        <x:v>Big Think</x:v>
      </x:c>
      <x:c r="F198" t="str">
        <x:v>@bigthink</x:v>
      </x:c>
      <x:c r="G198" s="26" t="str">
        <x:f>IF(OR(COUNTIF('Current Subscriptions'!$B$7:$B$83,E198)&gt;0,COUNTIF('Current Subscriptions'!$C$7:$C$83,F198)&gt;0),"Yes","No")</x:f>
        <x:v>No</x:v>
      </x:c>
      <x:c r="H198" s="26" t="str">
        <x:v>Why the next 25 years could surpass anything in modern memory | Peter Leyden: Full Interview</x:v>
      </x:c>
      <x:c r="I198" s="26" t="str">
        <x:v>8 months ago</x:v>
      </x:c>
      <x:c r="J198" s="26" t="str">
        <x:v>55:49</x:v>
      </x:c>
      <x:c r="K198" s="96" t="str">
        <x:v>https://www.youtube.com/watch?v=D0DUzZItVyI&amp;pp=ugUEEgJlbg%3D%3D</x:v>
      </x:c>
      <x:c r="L198" s="96" t="str">
        <x:v>https://www.youtube.com/@bigthink</x:v>
      </x:c>
    </x:row>
    <x:row r="199" ht="32" customHeight="1">
      <x:c r="A199" s="26" t="n">
        <x:v>193</x:v>
      </x:c>
      <x:c r="B199" s="26" t="str">
        <x:v>Video</x:v>
      </x:c>
      <x:c r="C199" s="27" t="str">
        <x:v>Rewrite Until Dawn — Dark Cyberpunk Lofi for Late Night Coding &amp; Deep Focus (3 Hours)</x:v>
      </x:c>
      <x:c r="D199" t="str">
        <x:v>62qGZ2Tv4pw</x:v>
      </x:c>
      <x:c r="E199" t="str">
        <x:v>Cipher Remnants</x:v>
      </x:c>
      <x:c r="F199" t="str">
        <x:v>@Cipher_Remnants</x:v>
      </x:c>
      <x:c r="G199" s="26" t="str">
        <x:f>IF(OR(COUNTIF('Current Subscriptions'!$B$7:$B$83,E199)&gt;0,COUNTIF('Current Subscriptions'!$C$7:$C$83,F199)&gt;0),"Yes","No")</x:f>
        <x:v>No</x:v>
      </x:c>
      <x:c r="H199" s="26" t="str">
        <x:v>276 views</x:v>
      </x:c>
      <x:c r="I199" s="26" t="str">
        <x:v>2 months ago</x:v>
      </x:c>
      <x:c r="J199" s="26" t="str">
        <x:v>3:01:38</x:v>
      </x:c>
      <x:c r="K199" s="96" t="str">
        <x:v>https://www.youtube.com/watch?v=62qGZ2Tv4pw</x:v>
      </x:c>
      <x:c r="L199" s="96" t="str">
        <x:v>https://www.youtube.com/@Cipher_Remnants</x:v>
      </x:c>
    </x:row>
    <x:row r="200" ht="32" customHeight="1">
      <x:c r="A200" s="26" t="n">
        <x:v>194</x:v>
      </x:c>
      <x:c r="B200" s="26" t="str">
        <x:v>Video</x:v>
      </x:c>
      <x:c r="C200" s="27" t="str">
        <x:v>Making Gleam dashboards for my homelab</x:v>
      </x:c>
      <x:c r="D200" t="str">
        <x:v>LL0kn6PdoS8</x:v>
      </x:c>
      <x:c r="E200" t="str">
        <x:v>Louis Pilfold</x:v>
      </x:c>
      <x:c r="F200" t="str">
        <x:v>@lpil</x:v>
      </x:c>
      <x:c r="G200" s="26" t="str">
        <x:f>IF(OR(COUNTIF('Current Subscriptions'!$B$7:$B$83,E200)&gt;0,COUNTIF('Current Subscriptions'!$C$7:$C$83,F200)&gt;0),"Yes","No")</x:f>
        <x:v>No</x:v>
      </x:c>
      <x:c r="H200" s="26" t="str">
        <x:v>1.7K views</x:v>
      </x:c>
      <x:c r="I200" s="26" t="str">
        <x:v>Streamed 2 days ago</x:v>
      </x:c>
      <x:c r="J200" s="26" t="str">
        <x:v>1:17:49</x:v>
      </x:c>
      <x:c r="K200" s="96" t="str">
        <x:v>https://www.youtube.com/watch?v=LL0kn6PdoS8</x:v>
      </x:c>
      <x:c r="L200" s="96" t="str">
        <x:v>https://www.youtube.com/@lpil</x:v>
      </x:c>
    </x:row>
    <x:row r="201" ht="32" customHeight="1">
      <x:c r="A201" s="26" t="n">
        <x:v>195</x:v>
      </x:c>
      <x:c r="B201" s="26" t="str">
        <x:v>Video</x:v>
      </x:c>
      <x:c r="C201" s="27" t="str">
        <x:v>You need to switch to Linux RIGHT NOW!!</x:v>
      </x:c>
      <x:c r="D201" t="str">
        <x:v>9SDkU5VDQEQ</x:v>
      </x:c>
      <x:c r="E201" t="str">
        <x:v>NetworkChuck</x:v>
      </x:c>
      <x:c r="F201" t="str">
        <x:v>@NetworkChuck</x:v>
      </x:c>
      <x:c r="G201" s="26" t="str">
        <x:f>IF(OR(COUNTIF('Current Subscriptions'!$B$7:$B$83,E201)&gt;0,COUNTIF('Current Subscriptions'!$C$7:$C$83,F201)&gt;0),"Yes","No")</x:f>
        <x:v>Yes</x:v>
      </x:c>
      <x:c r="H201" s="26" t="str">
        <x:v>958K views</x:v>
      </x:c>
      <x:c r="I201" s="26" t="str">
        <x:v>5 days ago</x:v>
      </x:c>
      <x:c r="J201" s="26" t="str">
        <x:v>33:36</x:v>
      </x:c>
      <x:c r="K201" s="96" t="str">
        <x:v>https://www.youtube.com/watch?v=9SDkU5VDQEQ&amp;pp=ugUEEgJlbg%3D%3D</x:v>
      </x:c>
      <x:c r="L201" s="96" t="str">
        <x:v>https://www.youtube.com/@NetworkChuck</x:v>
      </x:c>
    </x:row>
    <x:row r="202" ht="32" customHeight="1">
      <x:c r="A202" s="26" t="n">
        <x:v>196</x:v>
      </x:c>
      <x:c r="B202" s="26" t="str">
        <x:v>Video</x:v>
      </x:c>
      <x:c r="C202" s="27" t="str">
        <x:v>Lofi you can Focus with | Calm human-made music for Work &amp; Study</x:v>
      </x:c>
      <x:c r="D202" t="str">
        <x:v>SLgs-5UMsZQ</x:v>
      </x:c>
      <x:c r="E202" t="str">
        <x:v>Yellow Cherry Jam</x:v>
      </x:c>
      <x:c r="F202" t="str">
        <x:v>@yellowcherry_jam</x:v>
      </x:c>
      <x:c r="G202" s="26" t="str">
        <x:f>IF(OR(COUNTIF('Current Subscriptions'!$B$7:$B$83,E202)&gt;0,COUNTIF('Current Subscriptions'!$C$7:$C$83,F202)&gt;0),"Yes","No")</x:f>
        <x:v>No</x:v>
      </x:c>
      <x:c r="H202" s="26" t="str">
        <x:v>201K views</x:v>
      </x:c>
      <x:c r="I202" s="26" t="str">
        <x:v>7 months ago</x:v>
      </x:c>
      <x:c r="J202" s="26" t="str">
        <x:v>1:03:58</x:v>
      </x:c>
      <x:c r="K202" s="96" t="str">
        <x:v>https://www.youtube.com/watch?v=SLgs-5UMsZQ</x:v>
      </x:c>
      <x:c r="L202" s="96" t="str">
        <x:v>https://www.youtube.com/@yellowcherry_jam</x:v>
      </x:c>
    </x:row>
    <x:row r="203" ht="32" customHeight="1">
      <x:c r="A203" s="26" t="n">
        <x:v>197</x:v>
      </x:c>
      <x:c r="B203" s="26" t="str">
        <x:v>Video</x:v>
      </x:c>
      <x:c r="C203" s="27" t="str">
        <x:v>Do THIS If You Hate Your Job</x:v>
      </x:c>
      <x:c r="D203" t="str">
        <x:v>8a5B2C4HRzc</x:v>
      </x:c>
      <x:c r="E203" t="str">
        <x:v>Adam Savage’s Tested</x:v>
      </x:c>
      <x:c r="F203" t="str">
        <x:v>@tested</x:v>
      </x:c>
      <x:c r="G203" s="26" t="str">
        <x:f>IF(OR(COUNTIF('Current Subscriptions'!$B$7:$B$83,E203)&gt;0,COUNTIF('Current Subscriptions'!$C$7:$C$83,F203)&gt;0),"Yes","No")</x:f>
        <x:v>No</x:v>
      </x:c>
      <x:c r="H203" s="26" t="str">
        <x:v>1.2M views</x:v>
      </x:c>
      <x:c r="I203" s="26" t="str">
        <x:v>2 years ago</x:v>
      </x:c>
      <x:c r="J203" s="26" t="str">
        <x:v>10:08</x:v>
      </x:c>
      <x:c r="K203" s="96" t="str">
        <x:v>https://www.youtube.com/watch?v=8a5B2C4HRzc</x:v>
      </x:c>
      <x:c r="L203" s="96" t="str">
        <x:v>https://www.youtube.com/@tested</x:v>
      </x:c>
    </x:row>
    <x:row r="204" ht="32" customHeight="1">
      <x:c r="A204" s="26" t="n">
        <x:v>198</x:v>
      </x:c>
      <x:c r="B204" s="26" t="str">
        <x:v>Video</x:v>
      </x:c>
      <x:c r="C204" s="27" t="str">
        <x:v>Rust for Dummies in 12 Minutes</x:v>
      </x:c>
      <x:c r="D204" t="str">
        <x:v>0y6RKiIk6cs</x:v>
      </x:c>
      <x:c r="E204" t="str">
        <x:v>Let's Get Rusty</x:v>
      </x:c>
      <x:c r="F204" t="str">
        <x:v>@letsgetrusty</x:v>
      </x:c>
      <x:c r="G204" s="26" t="str">
        <x:f>IF(OR(COUNTIF('Current Subscriptions'!$B$7:$B$83,E204)&gt;0,COUNTIF('Current Subscriptions'!$C$7:$C$83,F204)&gt;0),"Yes","No")</x:f>
        <x:v>No</x:v>
      </x:c>
      <x:c r="H204" s="26" t="str">
        <x:v>362K views</x:v>
      </x:c>
      <x:c r="I204" s="26" t="str">
        <x:v>1 year ago</x:v>
      </x:c>
      <x:c r="J204" s="26" t="str">
        <x:v>12:30</x:v>
      </x:c>
      <x:c r="K204" s="96" t="str">
        <x:v>https://www.youtube.com/watch?v=0y6RKiIk6cs</x:v>
      </x:c>
      <x:c r="L204" s="96" t="str">
        <x:v>https://www.youtube.com/@letsgetrusty</x:v>
      </x:c>
    </x:row>
    <x:row r="205" ht="32" customHeight="1">
      <x:c r="A205" s="26" t="n">
        <x:v>199</x:v>
      </x:c>
      <x:c r="B205" s="26" t="str">
        <x:v>Video</x:v>
      </x:c>
      <x:c r="C205" s="27" t="str">
        <x:v>Making the most Whimsical Linux Theme.</x:v>
      </x:c>
      <x:c r="D205" t="str">
        <x:v>qOoWQeIGKiA</x:v>
      </x:c>
      <x:c r="E205" t="str">
        <x:v>diinki</x:v>
      </x:c>
      <x:c r="F205" t="str">
        <x:v>@diinkikot</x:v>
      </x:c>
      <x:c r="G205" s="26" t="str">
        <x:f>IF(OR(COUNTIF('Current Subscriptions'!$B$7:$B$83,E205)&gt;0,COUNTIF('Current Subscriptions'!$C$7:$C$83,F205)&gt;0),"Yes","No")</x:f>
        <x:v>No</x:v>
      </x:c>
      <x:c r="H205" s="26" t="str">
        <x:v>268K views</x:v>
      </x:c>
      <x:c r="I205" s="26" t="str">
        <x:v>1 month ago</x:v>
      </x:c>
      <x:c r="J205" s="26" t="str">
        <x:v>27:16</x:v>
      </x:c>
      <x:c r="K205" s="96" t="str">
        <x:v>https://www.youtube.com/watch?v=qOoWQeIGKiA</x:v>
      </x:c>
      <x:c r="L205" s="96" t="str">
        <x:v>https://www.youtube.com/@diinkikot</x:v>
      </x:c>
    </x:row>
    <x:row r="206" ht="32" customHeight="1">
      <x:c r="A206" s="26" t="n">
        <x:v>200</x:v>
      </x:c>
      <x:c r="B206" s="26" t="str">
        <x:v>Video</x:v>
      </x:c>
      <x:c r="C206" s="27" t="str">
        <x:v>NeoVim Is Better, But Why Devs Are Not Switching To It? | Prime Reacts</x:v>
      </x:c>
      <x:c r="D206" t="str">
        <x:v>5Welk51oDWs</x:v>
      </x:c>
      <x:c r="E206" t="str">
        <x:v>The PrimeTime</x:v>
      </x:c>
      <x:c r="F206" t="str">
        <x:v>@ThePrimeTimeagen</x:v>
      </x:c>
      <x:c r="G206" s="26" t="str">
        <x:f>IF(OR(COUNTIF('Current Subscriptions'!$B$7:$B$83,E206)&gt;0,COUNTIF('Current Subscriptions'!$C$7:$C$83,F206)&gt;0),"Yes","No")</x:f>
        <x:v>No</x:v>
      </x:c>
      <x:c r="H206" s="26" t="str">
        <x:v>588K views</x:v>
      </x:c>
      <x:c r="I206" s="26" t="str">
        <x:v>1 year ago</x:v>
      </x:c>
      <x:c r="J206" s="26" t="str">
        <x:v>39:34</x:v>
      </x:c>
      <x:c r="K206" s="96" t="str">
        <x:v>https://www.youtube.com/watch?v=5Welk51oDWs&amp;pp=ugUHEgVlbi1VUw%3D%3D</x:v>
      </x:c>
      <x:c r="L206" s="96" t="str">
        <x:v>https://www.youtube.com/@ThePrimeTimeagen</x:v>
      </x:c>
    </x:row>
    <x:row r="207" ht="32" customHeight="1">
      <x:c r="A207" s="26" t="n">
        <x:v>201</x:v>
      </x:c>
      <x:c r="B207" s="26" t="str">
        <x:v>Video</x:v>
      </x:c>
      <x:c r="C207" s="27" t="str">
        <x:v>Only 40 lines of code</x:v>
      </x:c>
      <x:c r="D207" t="str">
        <x:v>R3ydGMRtnqU</x:v>
      </x:c>
      <x:c r="E207" t="str">
        <x:v>The PrimeTime</x:v>
      </x:c>
      <x:c r="F207" t="str">
        <x:v>@ThePrimeTimeagen</x:v>
      </x:c>
      <x:c r="G207" s="26" t="str">
        <x:f>IF(OR(COUNTIF('Current Subscriptions'!$B$7:$B$83,E207)&gt;0,COUNTIF('Current Subscriptions'!$C$7:$C$83,F207)&gt;0),"Yes","No")</x:f>
        <x:v>No</x:v>
      </x:c>
      <x:c r="H207" s="26" t="str">
        <x:v>758K views</x:v>
      </x:c>
      <x:c r="I207" s="26" t="str">
        <x:v>6 months ago</x:v>
      </x:c>
      <x:c r="J207" s="26" t="str">
        <x:v>7:59</x:v>
      </x:c>
      <x:c r="K207" s="96" t="str">
        <x:v>https://www.youtube.com/watch?v=R3ydGMRtnqU&amp;pp=ugUHEgVlbi1VUw%3D%3D</x:v>
      </x:c>
      <x:c r="L207" s="96" t="str">
        <x:v>https://www.youtube.com/@ThePrimeTimeagen</x:v>
      </x:c>
    </x:row>
    <x:row r="208" ht="32" customHeight="1">
      <x:c r="A208" s="26" t="n">
        <x:v>202</x:v>
      </x:c>
      <x:c r="B208" s="26" t="str">
        <x:v>Video</x:v>
      </x:c>
      <x:c r="C208" s="27" t="str">
        <x:v>coulou's cafe trumpet meditations (no. 75)</x:v>
      </x:c>
      <x:c r="D208" t="str">
        <x:v>ipWX3JRdudM</x:v>
      </x:c>
      <x:c r="E208" t="str">
        <x:v>COULOU</x:v>
      </x:c>
      <x:c r="F208" t="str">
        <x:v>@coulou__</x:v>
      </x:c>
      <x:c r="G208" s="26" t="str">
        <x:f>IF(OR(COUNTIF('Current Subscriptions'!$B$7:$B$83,E208)&gt;0,COUNTIF('Current Subscriptions'!$C$7:$C$83,F208)&gt;0),"Yes","No")</x:f>
        <x:v>No</x:v>
      </x:c>
      <x:c r="H208" s="26" t="str">
        <x:v>6.2K views</x:v>
      </x:c>
      <x:c r="I208" s="26" t="str">
        <x:v>4 days ago</x:v>
      </x:c>
      <x:c r="J208" s="26" t="str">
        <x:v>21:39</x:v>
      </x:c>
      <x:c r="K208" s="96" t="str">
        <x:v>https://www.youtube.com/watch?v=ipWX3JRdudM</x:v>
      </x:c>
      <x:c r="L208" s="96" t="str">
        <x:v>https://www.youtube.com/@coulou__</x:v>
      </x:c>
    </x:row>
    <x:row r="209" ht="32" customHeight="1">
      <x:c r="A209" s="26" t="n">
        <x:v>203</x:v>
      </x:c>
      <x:c r="B209" s="26" t="str">
        <x:v>Mix</x:v>
      </x:c>
      <x:c r="C209" s="27" t="str">
        <x:v>The Portal Podcast</x:v>
      </x:c>
      <x:c r="D209" t="str">
        <x:v>rXBjHcWkq6U</x:v>
      </x:c>
      <x:c r="E209" t="str">
        <x:v>Eric Weinstein</x:v>
      </x:c>
      <x:c r="F209" t="str">
        <x:v>@EricWeinsteinPhD</x:v>
      </x:c>
      <x:c r="G209" s="26" t="str">
        <x:f>IF(OR(COUNTIF('Current Subscriptions'!$B$7:$B$83,E209)&gt;0,COUNTIF('Current Subscriptions'!$C$7:$C$83,F209)&gt;0),"Yes","No")</x:f>
        <x:v>No</x:v>
      </x:c>
      <x:c r="H209" s="26" t="str"/>
      <x:c r="I209" s="26" t="str"/>
      <x:c r="J209" s="26" t="str"/>
      <x:c r="K209" s="96" t="str">
        <x:v>https://www.youtube.com/watch?v=rXBjHcWkq6U&amp;list=PLq9jO8fmlPee9ezOraOHAJ3g9Zh3V2F2G</x:v>
      </x:c>
      <x:c r="L209" s="96" t="str">
        <x:v>https://www.youtube.com/@EricWeinsteinPhD</x:v>
      </x:c>
    </x:row>
    <x:row r="210" ht="32" customHeight="1">
      <x:c r="A210" s="26" t="n">
        <x:v>204</x:v>
      </x:c>
      <x:c r="B210" s="26" t="str">
        <x:v>Video</x:v>
      </x:c>
      <x:c r="C210" s="27" t="str">
        <x:v>No Slop Allowed</x:v>
      </x:c>
      <x:c r="D210" t="str">
        <x:v>RoHzXoolPTY</x:v>
      </x:c>
      <x:c r="E210" t="str">
        <x:v>The PrimeTime</x:v>
      </x:c>
      <x:c r="F210" t="str">
        <x:v>@ThePrimeTimeagen</x:v>
      </x:c>
      <x:c r="G210" s="26" t="str">
        <x:f>IF(OR(COUNTIF('Current Subscriptions'!$B$7:$B$83,E210)&gt;0,COUNTIF('Current Subscriptions'!$C$7:$C$83,F210)&gt;0),"Yes","No")</x:f>
        <x:v>No</x:v>
      </x:c>
      <x:c r="H210" s="26" t="str">
        <x:v>259K views</x:v>
      </x:c>
      <x:c r="I210" s="26" t="str">
        <x:v>4 weeks ago</x:v>
      </x:c>
      <x:c r="J210" s="26" t="str">
        <x:v>13:14</x:v>
      </x:c>
      <x:c r="K210" s="96" t="str">
        <x:v>https://www.youtube.com/watch?v=RoHzXoolPTY&amp;pp=ugUHEgVlbi1VUw%3D%3D</x:v>
      </x:c>
      <x:c r="L210" s="96" t="str">
        <x:v>https://www.youtube.com/@ThePrimeTimeagen</x:v>
      </x:c>
    </x:row>
    <x:row r="211" ht="32" customHeight="1">
      <x:c r="A211" s="26" t="n">
        <x:v>205</x:v>
      </x:c>
      <x:c r="B211" s="26" t="str">
        <x:v>Video</x:v>
      </x:c>
      <x:c r="C211" s="27" t="str">
        <x:v>OpenAI Founder Admits AI Isn’t Working | Prime Reacts</x:v>
      </x:c>
      <x:c r="D211" t="str">
        <x:v>-vPlLwtVU5g</x:v>
      </x:c>
      <x:c r="E211" t="str">
        <x:v>ThePrimeagenHighlights</x:v>
      </x:c>
      <x:c r="F211" t="str">
        <x:v>@ThePrimeagenHighlights</x:v>
      </x:c>
      <x:c r="G211" s="26" t="str">
        <x:f>IF(OR(COUNTIF('Current Subscriptions'!$B$7:$B$83,E211)&gt;0,COUNTIF('Current Subscriptions'!$C$7:$C$83,F211)&gt;0),"Yes","No")</x:f>
        <x:v>No</x:v>
      </x:c>
      <x:c r="H211" s="26" t="str">
        <x:v>374K views</x:v>
      </x:c>
      <x:c r="I211" s="26" t="str">
        <x:v>3 months ago</x:v>
      </x:c>
      <x:c r="J211" s="26" t="str">
        <x:v>20:44</x:v>
      </x:c>
      <x:c r="K211" s="96" t="str">
        <x:v>https://www.youtube.com/watch?v=-vPlLwtVU5g&amp;pp=ugUEEgJlbg%3D%3D</x:v>
      </x:c>
      <x:c r="L211" s="96" t="str">
        <x:v>https://www.youtube.com/@ThePrimeagenHighlights</x:v>
      </x:c>
    </x:row>
    <x:row r="212" ht="32" customHeight="1">
      <x:c r="A212" s="26" t="n">
        <x:v>206</x:v>
      </x:c>
      <x:c r="B212" s="26" t="str">
        <x:v>Video</x:v>
      </x:c>
      <x:c r="C212" s="27" t="str">
        <x:v>chill summer lofi by the campfire &amp; vintage camper | human music</x:v>
      </x:c>
      <x:c r="D212" t="str">
        <x:v>sBD994HNnGo</x:v>
      </x:c>
      <x:c r="E212" t="str">
        <x:v>Yellow Cherry Jam</x:v>
      </x:c>
      <x:c r="F212" t="str">
        <x:v>@yellowcherry_jam</x:v>
      </x:c>
      <x:c r="G212" s="26" t="str">
        <x:f>IF(OR(COUNTIF('Current Subscriptions'!$B$7:$B$83,E212)&gt;0,COUNTIF('Current Subscriptions'!$C$7:$C$83,F212)&gt;0),"Yes","No")</x:f>
        <x:v>No</x:v>
      </x:c>
      <x:c r="H212" s="26" t="str">
        <x:v>32K views</x:v>
      </x:c>
      <x:c r="I212" s="26" t="str">
        <x:v>9 days ago</x:v>
      </x:c>
      <x:c r="J212" s="26" t="str">
        <x:v>1:00:18</x:v>
      </x:c>
      <x:c r="K212" s="96" t="str">
        <x:v>https://www.youtube.com/watch?v=sBD994HNnGo</x:v>
      </x:c>
      <x:c r="L212" s="96" t="str">
        <x:v>https://www.youtube.com/@yellowcherry_jam</x:v>
      </x:c>
    </x:row>
    <x:row r="213" ht="32" customHeight="1">
      <x:c r="A213" s="26" t="n">
        <x:v>207</x:v>
      </x:c>
      <x:c r="B213" s="26" t="str">
        <x:v>Video</x:v>
      </x:c>
      <x:c r="C213" s="27" t="str">
        <x:v>The LEAST Private Operating System Ever Created</x:v>
      </x:c>
      <x:c r="D213" t="str">
        <x:v>M_720LesVg4</x:v>
      </x:c>
      <x:c r="E213" t="str">
        <x:v>LaurieWired</x:v>
      </x:c>
      <x:c r="F213" t="str">
        <x:v>@lauriewired</x:v>
      </x:c>
      <x:c r="G213" s="26" t="str">
        <x:f>IF(OR(COUNTIF('Current Subscriptions'!$B$7:$B$83,E213)&gt;0,COUNTIF('Current Subscriptions'!$C$7:$C$83,F213)&gt;0),"Yes","No")</x:f>
        <x:v>No</x:v>
      </x:c>
      <x:c r="H213" s="26" t="str">
        <x:v>560K views</x:v>
      </x:c>
      <x:c r="I213" s="26" t="str">
        <x:v>3 weeks ago</x:v>
      </x:c>
      <x:c r="J213" s="26" t="str">
        <x:v>30:16</x:v>
      </x:c>
      <x:c r="K213" s="96" t="str">
        <x:v>https://www.youtube.com/watch?v=M_720LesVg4</x:v>
      </x:c>
      <x:c r="L213" s="96" t="str">
        <x:v>https://www.youtube.com/@lauriewired</x:v>
      </x:c>
    </x:row>
    <x:row r="214" ht="32" customHeight="1">
      <x:c r="A214" s="26" t="n">
        <x:v>208</x:v>
      </x:c>
      <x:c r="B214" s="26" t="str">
        <x:v>Video</x:v>
      </x:c>
      <x:c r="C214" s="27" t="str">
        <x:v>How I Got Fluent in French FAST — My Daily Routine</x:v>
      </x:c>
      <x:c r="D214" t="str">
        <x:v>sP9pT56SX2Q</x:v>
      </x:c>
      <x:c r="E214" t="str">
        <x:v>Gracefully Smart</x:v>
      </x:c>
      <x:c r="F214" t="str">
        <x:v>@GracefullySmart</x:v>
      </x:c>
      <x:c r="G214" s="26" t="str">
        <x:f>IF(OR(COUNTIF('Current Subscriptions'!$B$7:$B$83,E214)&gt;0,COUNTIF('Current Subscriptions'!$C$7:$C$83,F214)&gt;0),"Yes","No")</x:f>
        <x:v>No</x:v>
      </x:c>
      <x:c r="H214" s="26" t="str">
        <x:v>160K views</x:v>
      </x:c>
      <x:c r="I214" s="26" t="str">
        <x:v>7 months ago</x:v>
      </x:c>
      <x:c r="J214" s="26" t="str">
        <x:v>12:24</x:v>
      </x:c>
      <x:c r="K214" s="96" t="str">
        <x:v>https://www.youtube.com/watch?v=sP9pT56SX2Q&amp;pp=ugUHEgVlbi1VUw%3D%3D</x:v>
      </x:c>
      <x:c r="L214" s="96" t="str">
        <x:v>https://www.youtube.com/@GracefullySmart</x:v>
      </x:c>
    </x:row>
    <x:row r="215" ht="32" customHeight="1">
      <x:c r="A215" s="26" t="n">
        <x:v>209</x:v>
      </x:c>
      <x:c r="B215" s="26" t="str">
        <x:v>Video</x:v>
      </x:c>
      <x:c r="C215" s="27" t="str">
        <x:v>Getting the Same Results with Smaller "Cheaper" Dual Sparks AI as the More Expensive Clusters</x:v>
      </x:c>
      <x:c r="D215" t="str">
        <x:v>tmcn1-jFLWY</x:v>
      </x:c>
      <x:c r="E215" t="str">
        <x:v>Level1Techs</x:v>
      </x:c>
      <x:c r="F215" t="str">
        <x:v>@Level1Techs</x:v>
      </x:c>
      <x:c r="G215" s="26" t="str">
        <x:f>IF(OR(COUNTIF('Current Subscriptions'!$B$7:$B$83,E215)&gt;0,COUNTIF('Current Subscriptions'!$C$7:$C$83,F215)&gt;0),"Yes","No")</x:f>
        <x:v>No</x:v>
      </x:c>
      <x:c r="H215" s="26" t="str">
        <x:v>187K views</x:v>
      </x:c>
      <x:c r="I215" s="26" t="str">
        <x:v>5 days ago</x:v>
      </x:c>
      <x:c r="J215" s="26" t="str">
        <x:v>36:28</x:v>
      </x:c>
      <x:c r="K215" s="96" t="str">
        <x:v>https://www.youtube.com/watch?v=tmcn1-jFLWY&amp;pp=0gcJCRMMAYcqIYzv</x:v>
      </x:c>
      <x:c r="L215" s="96" t="str">
        <x:v>https://www.youtube.com/@Level1Techs</x:v>
      </x:c>
    </x:row>
    <x:row r="216" ht="32" customHeight="1">
      <x:c r="A216" s="26" t="n">
        <x:v>210</x:v>
      </x:c>
      <x:c r="B216" s="26" t="str">
        <x:v>Video</x:v>
      </x:c>
      <x:c r="C216" s="27" t="str">
        <x:v>Graphics API is irrelevant</x:v>
      </x:c>
      <x:c r="D216" t="str">
        <x:v>xNX9H_ZkfNE</x:v>
      </x:c>
      <x:c r="E216" t="str">
        <x:v>Tsoding</x:v>
      </x:c>
      <x:c r="F216" t="str">
        <x:v>@Tsoding</x:v>
      </x:c>
      <x:c r="G216" s="26" t="str">
        <x:f>IF(OR(COUNTIF('Current Subscriptions'!$B$7:$B$83,E216)&gt;0,COUNTIF('Current Subscriptions'!$C$7:$C$83,F216)&gt;0),"Yes","No")</x:f>
        <x:v>No</x:v>
      </x:c>
      <x:c r="H216" s="26" t="str">
        <x:v>374K views</x:v>
      </x:c>
      <x:c r="I216" s="26" t="str">
        <x:v>9 months ago</x:v>
      </x:c>
      <x:c r="J216" s="26" t="str">
        <x:v>11:52</x:v>
      </x:c>
      <x:c r="K216" s="96" t="str">
        <x:v>https://www.youtube.com/watch?v=xNX9H_ZkfNE&amp;pp=ugUEEgJlbg%3D%3D</x:v>
      </x:c>
      <x:c r="L216" s="96" t="str">
        <x:v>https://www.youtube.com/@Tsoding</x:v>
      </x:c>
    </x:row>
    <x:row r="217" ht="32" customHeight="1">
      <x:c r="A217" s="26" t="n">
        <x:v>211</x:v>
      </x:c>
      <x:c r="B217" s="26" t="str">
        <x:v>Video</x:v>
      </x:c>
      <x:c r="C217" s="27" t="str">
        <x:v>Sound More French: Accent Training with the Shadowing Technique</x:v>
      </x:c>
      <x:c r="D217" t="str">
        <x:v>RpOqA6ek-Ts</x:v>
      </x:c>
      <x:c r="E217" t="str">
        <x:v>Bonjour Brilliant</x:v>
      </x:c>
      <x:c r="F217" t="str">
        <x:v>@BonjourBrilliant</x:v>
      </x:c>
      <x:c r="G217" s="26" t="str">
        <x:f>IF(OR(COUNTIF('Current Subscriptions'!$B$7:$B$83,E217)&gt;0,COUNTIF('Current Subscriptions'!$C$7:$C$83,F217)&gt;0),"Yes","No")</x:f>
        <x:v>No</x:v>
      </x:c>
      <x:c r="H217" s="26" t="str">
        <x:v>30K views</x:v>
      </x:c>
      <x:c r="I217" s="26" t="str">
        <x:v>2 months ago</x:v>
      </x:c>
      <x:c r="J217" s="26" t="str">
        <x:v>12:49</x:v>
      </x:c>
      <x:c r="K217" s="96" t="str">
        <x:v>https://www.youtube.com/watch?v=RpOqA6ek-Ts</x:v>
      </x:c>
      <x:c r="L217" s="96" t="str">
        <x:v>https://www.youtube.com/@BonjourBrilliant</x:v>
      </x:c>
    </x:row>
    <x:row r="218" ht="32" customHeight="1">
      <x:c r="A218" s="26" t="n">
        <x:v>212</x:v>
      </x:c>
      <x:c r="B218" s="26" t="str">
        <x:v>Video</x:v>
      </x:c>
      <x:c r="C218" s="27" t="str">
        <x:v>how to fix your entire life in 3 days</x:v>
      </x:c>
      <x:c r="D218" t="str">
        <x:v>r8rfZAgX1IM</x:v>
      </x:c>
      <x:c r="E218" t="str">
        <x:v>Newel of Knowledge</x:v>
      </x:c>
      <x:c r="F218" t="str">
        <x:v>@NewelOfKnowledge</x:v>
      </x:c>
      <x:c r="G218" s="26" t="str">
        <x:f>IF(OR(COUNTIF('Current Subscriptions'!$B$7:$B$83,E218)&gt;0,COUNTIF('Current Subscriptions'!$C$7:$C$83,F218)&gt;0),"Yes","No")</x:f>
        <x:v>No</x:v>
      </x:c>
      <x:c r="H218" s="26" t="str">
        <x:v>42K views</x:v>
      </x:c>
      <x:c r="I218" s="26" t="str">
        <x:v>5 days ago</x:v>
      </x:c>
      <x:c r="J218" s="26" t="str">
        <x:v>14:36</x:v>
      </x:c>
      <x:c r="K218" s="96" t="str">
        <x:v>https://www.youtube.com/watch?v=r8rfZAgX1IM</x:v>
      </x:c>
      <x:c r="L218" s="96" t="str">
        <x:v>https://www.youtube.com/@NewelOfKnowledge</x:v>
      </x:c>
    </x:row>
    <x:row r="219" ht="32" customHeight="1">
      <x:c r="A219" s="26" t="n">
        <x:v>213</x:v>
      </x:c>
      <x:c r="B219" s="26" t="str">
        <x:v>Video</x:v>
      </x:c>
      <x:c r="C219" s="27" t="str">
        <x:v>Teaching Myself Electronics (Part One)</x:v>
      </x:c>
      <x:c r="D219" t="str">
        <x:v>ymTwVM9Tiac</x:v>
      </x:c>
      <x:c r="E219" t="str">
        <x:v>ProjectMaria</x:v>
      </x:c>
      <x:c r="F219" t="str">
        <x:v>@pr0jectmaria</x:v>
      </x:c>
      <x:c r="G219" s="26" t="str">
        <x:f>IF(OR(COUNTIF('Current Subscriptions'!$B$7:$B$83,E219)&gt;0,COUNTIF('Current Subscriptions'!$C$7:$C$83,F219)&gt;0),"Yes","No")</x:f>
        <x:v>No</x:v>
      </x:c>
      <x:c r="H219" s="26" t="str">
        <x:v>2.5M views</x:v>
      </x:c>
      <x:c r="I219" s="26" t="str">
        <x:v>5 months ago</x:v>
      </x:c>
      <x:c r="J219" s="26" t="str">
        <x:v>24:04</x:v>
      </x:c>
      <x:c r="K219" s="96" t="str">
        <x:v>https://www.youtube.com/watch?v=ymTwVM9Tiac&amp;pp=ugUEEgJlbg%3D%3D</x:v>
      </x:c>
      <x:c r="L219" s="96" t="str">
        <x:v>https://www.youtube.com/@pr0jectmaria</x:v>
      </x:c>
    </x:row>
    <x:row r="220" ht="32" customHeight="1">
      <x:c r="A220" s="26" t="n">
        <x:v>214</x:v>
      </x:c>
      <x:c r="B220" s="26" t="str">
        <x:v>Video</x:v>
      </x:c>
      <x:c r="C220" s="27" t="str">
        <x:v>Your RAM Has a 60 Year Old Design Flaw. I Bypassed It.</x:v>
      </x:c>
      <x:c r="D220" t="str">
        <x:v>KKbgulTp3FE</x:v>
      </x:c>
      <x:c r="E220" t="str">
        <x:v>LaurieWired</x:v>
      </x:c>
      <x:c r="F220" t="str">
        <x:v>@lauriewired</x:v>
      </x:c>
      <x:c r="G220" s="26" t="str">
        <x:f>IF(OR(COUNTIF('Current Subscriptions'!$B$7:$B$83,E220)&gt;0,COUNTIF('Current Subscriptions'!$C$7:$C$83,F220)&gt;0),"Yes","No")</x:f>
        <x:v>No</x:v>
      </x:c>
      <x:c r="H220" s="26" t="str">
        <x:v>1.1M views</x:v>
      </x:c>
      <x:c r="I220" s="26" t="str">
        <x:v>4 months ago</x:v>
      </x:c>
      <x:c r="J220" s="26" t="str">
        <x:v>54:27</x:v>
      </x:c>
      <x:c r="K220" s="96" t="str">
        <x:v>https://www.youtube.com/watch?v=KKbgulTp3FE</x:v>
      </x:c>
      <x:c r="L220" s="96" t="str">
        <x:v>https://www.youtube.com/@lauriewired</x:v>
      </x:c>
    </x:row>
    <x:row r="221" ht="32" customHeight="1">
      <x:c r="A221" s="26" t="n">
        <x:v>215</x:v>
      </x:c>
      <x:c r="B221" s="26" t="str">
        <x:v>Video</x:v>
      </x:c>
      <x:c r="C221" s="27" t="str">
        <x:v>STOP saying “Moi aussi” in French (and what to say instead)</x:v>
      </x:c>
      <x:c r="D221" t="str">
        <x:v>7eGolv9s3ho</x:v>
      </x:c>
      <x:c r="E221" t="str">
        <x:v>Talk in French</x:v>
      </x:c>
      <x:c r="F221" t="str">
        <x:v>@talkinfrench</x:v>
      </x:c>
      <x:c r="G221" s="26" t="str">
        <x:f>IF(OR(COUNTIF('Current Subscriptions'!$B$7:$B$83,E221)&gt;0,COUNTIF('Current Subscriptions'!$C$7:$C$83,F221)&gt;0),"Yes","No")</x:f>
        <x:v>No</x:v>
      </x:c>
      <x:c r="H221" s="26" t="str">
        <x:v>210K views</x:v>
      </x:c>
      <x:c r="I221" s="26" t="str">
        <x:v>4 months ago</x:v>
      </x:c>
      <x:c r="J221" s="26" t="str">
        <x:v>6:48</x:v>
      </x:c>
      <x:c r="K221" s="96" t="str">
        <x:v>https://www.youtube.com/watch?v=7eGolv9s3ho</x:v>
      </x:c>
      <x:c r="L221" s="96" t="str">
        <x:v>https://www.youtube.com/@talkinfrench</x:v>
      </x:c>
    </x:row>
    <x:row r="222" ht="32" customHeight="1">
      <x:c r="A222" s="26" t="n">
        <x:v>216</x:v>
      </x:c>
      <x:c r="B222" s="26" t="str">
        <x:v>Video</x:v>
      </x:c>
      <x:c r="C222" s="27" t="str">
        <x:v>Everything We Learned About Language Learning This Summer [101]</x:v>
      </x:c>
      <x:c r="D222" t="str">
        <x:v>zK6bfy2bihw</x:v>
      </x:c>
      <x:c r="E222" t="str">
        <x:v>French With Panache</x:v>
      </x:c>
      <x:c r="F222" t="str">
        <x:v>@FrenchWithPanache</x:v>
      </x:c>
      <x:c r="G222" s="26" t="str">
        <x:f>IF(OR(COUNTIF('Current Subscriptions'!$B$7:$B$83,E222)&gt;0,COUNTIF('Current Subscriptions'!$C$7:$C$83,F222)&gt;0),"Yes","No")</x:f>
        <x:v>No</x:v>
      </x:c>
      <x:c r="H222" s="26" t="str">
        <x:v>11K views</x:v>
      </x:c>
      <x:c r="I222" s="26" t="str">
        <x:v>4 days ago</x:v>
      </x:c>
      <x:c r="J222" s="26" t="str">
        <x:v>53:45</x:v>
      </x:c>
      <x:c r="K222" s="96" t="str">
        <x:v>https://www.youtube.com/watch?v=zK6bfy2bihw</x:v>
      </x:c>
      <x:c r="L222" s="96" t="str">
        <x:v>https://www.youtube.com/@FrenchWithPanache</x:v>
      </x:c>
    </x:row>
    <x:row r="223" ht="32" customHeight="1">
      <x:c r="A223" s="26" t="n">
        <x:v>217</x:v>
      </x:c>
      <x:c r="B223" s="26" t="str">
        <x:v>Video</x:v>
      </x:c>
      <x:c r="C223" s="27" t="str">
        <x:v>"I don't like Programming" | Prime Reacts</x:v>
      </x:c>
      <x:c r="D223" t="str">
        <x:v>r6EXZcTJyaA</x:v>
      </x:c>
      <x:c r="E223" t="str">
        <x:v>ThePrimeagenHighlights</x:v>
      </x:c>
      <x:c r="F223" t="str">
        <x:v>@ThePrimeagenHighlights</x:v>
      </x:c>
      <x:c r="G223" s="26" t="str">
        <x:f>IF(OR(COUNTIF('Current Subscriptions'!$B$7:$B$83,E223)&gt;0,COUNTIF('Current Subscriptions'!$C$7:$C$83,F223)&gt;0),"Yes","No")</x:f>
        <x:v>No</x:v>
      </x:c>
      <x:c r="H223" s="26" t="str">
        <x:v>260K views</x:v>
      </x:c>
      <x:c r="I223" s="26" t="str">
        <x:v>3 months ago</x:v>
      </x:c>
      <x:c r="J223" s="26" t="str">
        <x:v>26:34</x:v>
      </x:c>
      <x:c r="K223" s="96" t="str">
        <x:v>https://www.youtube.com/watch?v=r6EXZcTJyaA&amp;pp=ugUEEgJlbg%3D%3D</x:v>
      </x:c>
      <x:c r="L223" s="96" t="str">
        <x:v>https://www.youtube.com/@ThePrimeagenHighlights</x:v>
      </x:c>
    </x:row>
    <x:row r="224" ht="32" customHeight="1">
      <x:c r="A224" s="26" t="n">
        <x:v>218</x:v>
      </x:c>
      <x:c r="B224" s="26" t="str">
        <x:v>Video</x:v>
      </x:c>
      <x:c r="C224" s="27" t="str">
        <x:v>40 Mistakes to Avoid If You Want to Speak Like a French Person – Immersive Podcast</x:v>
      </x:c>
      <x:c r="D224" t="str">
        <x:v>-LVRCG4wKW4</x:v>
      </x:c>
      <x:c r="E224" t="str">
        <x:v>Easy French Talk</x:v>
      </x:c>
      <x:c r="F224" t="str">
        <x:v>@EasyFrenchTalk</x:v>
      </x:c>
      <x:c r="G224" s="26" t="str">
        <x:f>IF(OR(COUNTIF('Current Subscriptions'!$B$7:$B$83,E224)&gt;0,COUNTIF('Current Subscriptions'!$C$7:$C$83,F224)&gt;0),"Yes","No")</x:f>
        <x:v>No</x:v>
      </x:c>
      <x:c r="H224" s="26" t="str">
        <x:v>3K views</x:v>
      </x:c>
      <x:c r="I224" s="26" t="str">
        <x:v>6 months ago</x:v>
      </x:c>
      <x:c r="J224" s="26" t="str">
        <x:v>40:27</x:v>
      </x:c>
      <x:c r="K224" s="96" t="str">
        <x:v>https://www.youtube.com/watch?v=-LVRCG4wKW4&amp;pp=0gcJCRMMAYcqIYzv</x:v>
      </x:c>
      <x:c r="L224" s="96" t="str">
        <x:v>https://www.youtube.com/@EasyFrenchTalk</x:v>
      </x:c>
    </x:row>
    <x:row r="225" ht="32" customHeight="1">
      <x:c r="A225" s="26" t="n">
        <x:v>219</x:v>
      </x:c>
      <x:c r="B225" s="26" t="str">
        <x:v>Video</x:v>
      </x:c>
      <x:c r="C225" s="27" t="str">
        <x:v>AI Has Broken Open Source</x:v>
      </x:c>
      <x:c r="D225" t="str">
        <x:v>qazhWj8kYLo</x:v>
      </x:c>
      <x:c r="E225" t="str">
        <x:v>ForrestKnight</x:v>
      </x:c>
      <x:c r="F225" t="str">
        <x:v>@fknight</x:v>
      </x:c>
      <x:c r="G225" s="26" t="str">
        <x:f>IF(OR(COUNTIF('Current Subscriptions'!$B$7:$B$83,E225)&gt;0,COUNTIF('Current Subscriptions'!$C$7:$C$83,F225)&gt;0),"Yes","No")</x:f>
        <x:v>Yes</x:v>
      </x:c>
      <x:c r="H225" s="26" t="str">
        <x:v>78K views</x:v>
      </x:c>
      <x:c r="I225" s="26" t="str">
        <x:v>9 days ago</x:v>
      </x:c>
      <x:c r="J225" s="26" t="str">
        <x:v>25:45</x:v>
      </x:c>
      <x:c r="K225" s="96" t="str">
        <x:v>https://www.youtube.com/watch?v=qazhWj8kYLo</x:v>
      </x:c>
      <x:c r="L225" s="96" t="str">
        <x:v>https://www.youtube.com/@fknight</x:v>
      </x:c>
    </x:row>
    <x:row r="226" ht="32" customHeight="1">
      <x:c r="A226" s="26" t="n">
        <x:v>220</x:v>
      </x:c>
      <x:c r="B226" s="26" t="str">
        <x:v>Video</x:v>
      </x:c>
      <x:c r="C226" s="27" t="str">
        <x:v>Buddhist PhD | Ask Me Anything (Session 17)</x:v>
      </x:c>
      <x:c r="D226" t="str">
        <x:v>O-erZTh9L4Y</x:v>
      </x:c>
      <x:c r="E226" t="str">
        <x:v>Dr Jared Jones</x:v>
      </x:c>
      <x:c r="F226" t="str">
        <x:v>@drjaredjones</x:v>
      </x:c>
      <x:c r="G226" s="26" t="str">
        <x:f>IF(OR(COUNTIF('Current Subscriptions'!$B$7:$B$83,E226)&gt;0,COUNTIF('Current Subscriptions'!$C$7:$C$83,F226)&gt;0),"Yes","No")</x:f>
        <x:v>No</x:v>
      </x:c>
      <x:c r="H226" s="26" t="str">
        <x:v>1.9K views</x:v>
      </x:c>
      <x:c r="I226" s="26" t="str">
        <x:v>Streamed 5 days ago</x:v>
      </x:c>
      <x:c r="J226" s="26" t="str">
        <x:v>3:02:36</x:v>
      </x:c>
      <x:c r="K226" s="96" t="str">
        <x:v>https://www.youtube.com/watch?v=O-erZTh9L4Y</x:v>
      </x:c>
      <x:c r="L226" s="96" t="str">
        <x:v>https://www.youtube.com/@drjaredjones</x:v>
      </x:c>
    </x:row>
    <x:row r="227" ht="32" customHeight="1">
      <x:c r="A227" s="26" t="n">
        <x:v>221</x:v>
      </x:c>
      <x:c r="B227" s="26" t="str">
        <x:v>Video</x:v>
      </x:c>
      <x:c r="C227" s="27" t="str">
        <x:v>How to Declutter for Someone Who Has ADHD</x:v>
      </x:c>
      <x:c r="D227" t="str">
        <x:v>-HjkBfmO8SQ</x:v>
      </x:c>
      <x:c r="E227" t="str">
        <x:v>Midwest Magic Cleaning</x:v>
      </x:c>
      <x:c r="F227" t="str">
        <x:v>@MidwestMagicCleaning</x:v>
      </x:c>
      <x:c r="G227" s="26" t="str">
        <x:f>IF(OR(COUNTIF('Current Subscriptions'!$B$7:$B$83,E227)&gt;0,COUNTIF('Current Subscriptions'!$C$7:$C$83,F227)&gt;0),"Yes","No")</x:f>
        <x:v>No</x:v>
      </x:c>
      <x:c r="H227" s="26" t="str">
        <x:v>1.6M views</x:v>
      </x:c>
      <x:c r="I227" s="26" t="str">
        <x:v>2 years ago</x:v>
      </x:c>
      <x:c r="J227" s="26" t="str">
        <x:v>39:52</x:v>
      </x:c>
      <x:c r="K227" s="96" t="str">
        <x:v>https://www.youtube.com/watch?v=-HjkBfmO8SQ&amp;pp=ugUHEgVlbi1VUw%3D%3D</x:v>
      </x:c>
      <x:c r="L227" s="96" t="str">
        <x:v>https://www.youtube.com/@MidwestMagicCleaning</x:v>
      </x:c>
    </x:row>
    <x:row r="228" ht="32" customHeight="1">
      <x:c r="A228" s="26" t="n">
        <x:v>222</x:v>
      </x:c>
      <x:c r="B228" s="26" t="str">
        <x:v>Video</x:v>
      </x:c>
      <x:c r="C228" s="27" t="str">
        <x:v>I Charged My Phone With a Candle</x:v>
      </x:c>
      <x:c r="D228" t="str">
        <x:v>MWMmxYEQ2Bg</x:v>
      </x:c>
      <x:c r="E228" t="str">
        <x:v>The Action Lab</x:v>
      </x:c>
      <x:c r="F228" t="str">
        <x:v>@TheActionLab</x:v>
      </x:c>
      <x:c r="G228" s="26" t="str">
        <x:f>IF(OR(COUNTIF('Current Subscriptions'!$B$7:$B$83,E228)&gt;0,COUNTIF('Current Subscriptions'!$C$7:$C$83,F228)&gt;0),"Yes","No")</x:f>
        <x:v>No</x:v>
      </x:c>
      <x:c r="H228" s="26" t="str">
        <x:v>145K views</x:v>
      </x:c>
      <x:c r="I228" s="26" t="str">
        <x:v>4 days ago</x:v>
      </x:c>
      <x:c r="J228" s="26" t="str">
        <x:v>9:43</x:v>
      </x:c>
      <x:c r="K228" s="96" t="str">
        <x:v>https://www.youtube.com/watch?v=MWMmxYEQ2Bg&amp;pp=0gcJCRMMAYcqIYzv</x:v>
      </x:c>
      <x:c r="L228" s="96" t="str">
        <x:v>https://www.youtube.com/@TheActionLab</x:v>
      </x:c>
    </x:row>
    <x:row r="229" ht="32" customHeight="1">
      <x:c r="A229" s="26" t="n">
        <x:v>223</x:v>
      </x:c>
      <x:c r="B229" s="26" t="str">
        <x:v>Video</x:v>
      </x:c>
      <x:c r="C229" s="27" t="str">
        <x:v>Lavender field lofi 🪻 Gentle music for quiet moments</x:v>
      </x:c>
      <x:c r="D229" t="str">
        <x:v>vKy37ofX6iY</x:v>
      </x:c>
      <x:c r="E229" t="str">
        <x:v>Yellow Cherry Jam</x:v>
      </x:c>
      <x:c r="F229" t="str">
        <x:v>@yellowcherry_jam</x:v>
      </x:c>
      <x:c r="G229" s="26" t="str">
        <x:f>IF(OR(COUNTIF('Current Subscriptions'!$B$7:$B$83,E229)&gt;0,COUNTIF('Current Subscriptions'!$C$7:$C$83,F229)&gt;0),"Yes","No")</x:f>
        <x:v>No</x:v>
      </x:c>
      <x:c r="H229" s="26" t="str">
        <x:v>324K views</x:v>
      </x:c>
      <x:c r="I229" s="26" t="str">
        <x:v>1 year ago</x:v>
      </x:c>
      <x:c r="J229" s="26" t="str">
        <x:v>1:00:11</x:v>
      </x:c>
      <x:c r="K229" s="96" t="str">
        <x:v>https://www.youtube.com/watch?v=vKy37ofX6iY</x:v>
      </x:c>
      <x:c r="L229" s="96" t="str">
        <x:v>https://www.youtube.com/@yellowcherry_jam</x:v>
      </x:c>
    </x:row>
    <x:row r="230" ht="32" customHeight="1">
      <x:c r="A230" s="26" t="n">
        <x:v>224</x:v>
      </x:c>
      <x:c r="B230" s="26" t="str">
        <x:v>Video</x:v>
      </x:c>
      <x:c r="C230" s="27" t="str">
        <x:v>I didn't want to buy a console, so I built this.</x:v>
      </x:c>
      <x:c r="D230" t="str">
        <x:v>ydbsXjZxYBo</x:v>
      </x:c>
      <x:c r="E230" t="str">
        <x:v>Hardware Haven</x:v>
      </x:c>
      <x:c r="F230" t="str">
        <x:v>@HardwareHaven</x:v>
      </x:c>
      <x:c r="G230" s="26" t="str">
        <x:f>IF(OR(COUNTIF('Current Subscriptions'!$B$7:$B$83,E230)&gt;0,COUNTIF('Current Subscriptions'!$C$7:$C$83,F230)&gt;0),"Yes","No")</x:f>
        <x:v>No</x:v>
      </x:c>
      <x:c r="H230" s="26" t="str">
        <x:v>548K views</x:v>
      </x:c>
      <x:c r="I230" s="26" t="str">
        <x:v>3 months ago</x:v>
      </x:c>
      <x:c r="J230" s="26" t="str">
        <x:v>25:22</x:v>
      </x:c>
      <x:c r="K230" s="96" t="str">
        <x:v>https://www.youtube.com/watch?v=ydbsXjZxYBo&amp;pp=ugUHEgVlbi1VUw%3D%3D</x:v>
      </x:c>
      <x:c r="L230" s="96" t="str">
        <x:v>https://www.youtube.com/@HardwareHaven</x:v>
      </x:c>
    </x:row>
    <x:row r="231" ht="32" customHeight="1">
      <x:c r="A231" s="26" t="n">
        <x:v>225</x:v>
      </x:c>
      <x:c r="B231" s="26" t="str">
        <x:v>Video</x:v>
      </x:c>
      <x:c r="C231" s="27" t="str">
        <x:v>Valve Accidentally Made the Best Desktop PC I’ve Ever Used</x:v>
      </x:c>
      <x:c r="D231" t="str">
        <x:v>5fXAELrljqs</x:v>
      </x:c>
      <x:c r="E231" t="str">
        <x:v>Linus Tech Tips</x:v>
      </x:c>
      <x:c r="F231" t="str">
        <x:v>@LinusTechTips</x:v>
      </x:c>
      <x:c r="G231" s="26" t="str">
        <x:f>IF(OR(COUNTIF('Current Subscriptions'!$B$7:$B$83,E231)&gt;0,COUNTIF('Current Subscriptions'!$C$7:$C$83,F231)&gt;0),"Yes","No")</x:f>
        <x:v>Yes</x:v>
      </x:c>
      <x:c r="H231" s="26" t="str">
        <x:v>2.5M views</x:v>
      </x:c>
      <x:c r="I231" s="26" t="str">
        <x:v>1 month ago</x:v>
      </x:c>
      <x:c r="J231" s="26" t="str">
        <x:v>15:26</x:v>
      </x:c>
      <x:c r="K231" s="96" t="str">
        <x:v>https://www.youtube.com/watch?v=5fXAELrljqs</x:v>
      </x:c>
      <x:c r="L231" s="96" t="str">
        <x:v>https://www.youtube.com/@LinusTechTips</x:v>
      </x:c>
    </x:row>
    <x:row r="232" ht="32" customHeight="1">
      <x:c r="A232" s="26" t="n">
        <x:v>226</x:v>
      </x:c>
      <x:c r="B232" s="26" t="str">
        <x:v>Video</x:v>
      </x:c>
      <x:c r="C232" s="27" t="str">
        <x:v>It really is time to try Linux.</x:v>
      </x:c>
      <x:c r="D232" t="str">
        <x:v>UIN2Q2u1A8o</x:v>
      </x:c>
      <x:c r="E232" t="str">
        <x:v>Thinking different.</x:v>
      </x:c>
      <x:c r="F232" t="str">
        <x:v>@ThinkingDifferent-YT</x:v>
      </x:c>
      <x:c r="G232" s="26" t="str">
        <x:f>IF(OR(COUNTIF('Current Subscriptions'!$B$7:$B$83,E232)&gt;0,COUNTIF('Current Subscriptions'!$C$7:$C$83,F232)&gt;0),"Yes","No")</x:f>
        <x:v>No</x:v>
      </x:c>
      <x:c r="H232" s="26" t="str">
        <x:v>276K views</x:v>
      </x:c>
      <x:c r="I232" s="26" t="str">
        <x:v>2 weeks ago</x:v>
      </x:c>
      <x:c r="J232" s="26" t="str">
        <x:v>16:53</x:v>
      </x:c>
      <x:c r="K232" s="96" t="str">
        <x:v>https://www.youtube.com/watch?v=UIN2Q2u1A8o&amp;pp=ugUEEgJlbg%3D%3D</x:v>
      </x:c>
      <x:c r="L232" s="96" t="str">
        <x:v>https://www.youtube.com/@ThinkingDifferent-YT</x:v>
      </x:c>
    </x:row>
    <x:row r="233" ht="32" customHeight="1">
      <x:c r="A233" s="26" t="n">
        <x:v>227</x:v>
      </x:c>
      <x:c r="B233" s="26" t="str">
        <x:v>Video</x:v>
      </x:c>
      <x:c r="C233" s="27" t="str">
        <x:v>Aurora - Full Performance (Live on KEXP)</x:v>
      </x:c>
      <x:c r="D233" t="str">
        <x:v>P_XguuxLo10</x:v>
      </x:c>
      <x:c r="E233" t="str">
        <x:v>KEXP</x:v>
      </x:c>
      <x:c r="F233" t="str">
        <x:v>@kexp</x:v>
      </x:c>
      <x:c r="G233" s="26" t="str">
        <x:f>IF(OR(COUNTIF('Current Subscriptions'!$B$7:$B$83,E233)&gt;0,COUNTIF('Current Subscriptions'!$C$7:$C$83,F233)&gt;0),"Yes","No")</x:f>
        <x:v>No</x:v>
      </x:c>
      <x:c r="H233" s="26" t="str">
        <x:v>12M views</x:v>
      </x:c>
      <x:c r="I233" s="26" t="str">
        <x:v>7 years ago</x:v>
      </x:c>
      <x:c r="J233" s="26" t="str">
        <x:v>28:58</x:v>
      </x:c>
      <x:c r="K233" s="96" t="str">
        <x:v>https://www.youtube.com/watch?v=P_XguuxLo10&amp;t=1080s</x:v>
      </x:c>
      <x:c r="L233" s="96" t="str">
        <x:v>https://www.youtube.com/@kexp</x:v>
      </x:c>
    </x:row>
    <x:row r="234" ht="32" customHeight="1">
      <x:c r="A234" s="26" t="n">
        <x:v>228</x:v>
      </x:c>
      <x:c r="B234" s="26" t="str">
        <x:v>Video</x:v>
      </x:c>
      <x:c r="C234" s="27" t="str">
        <x:v>Omarchy's $8,000,000 Gamble On The Linux Desktop</x:v>
      </x:c>
      <x:c r="D234" t="str">
        <x:v>93XfM5pWFo4</x:v>
      </x:c>
      <x:c r="E234" t="str">
        <x:v>Brodie Robertson</x:v>
      </x:c>
      <x:c r="F234" t="str">
        <x:v>@BrodieRobertson</x:v>
      </x:c>
      <x:c r="G234" s="26" t="str">
        <x:f>IF(OR(COUNTIF('Current Subscriptions'!$B$7:$B$83,E234)&gt;0,COUNTIF('Current Subscriptions'!$C$7:$C$83,F234)&gt;0),"Yes","No")</x:f>
        <x:v>No</x:v>
      </x:c>
      <x:c r="H234" s="26" t="str">
        <x:v>48K views</x:v>
      </x:c>
      <x:c r="I234" s="26" t="str">
        <x:v>4 days ago</x:v>
      </x:c>
      <x:c r="J234" s="26" t="str">
        <x:v>13:55</x:v>
      </x:c>
      <x:c r="K234" s="96" t="str">
        <x:v>https://www.youtube.com/watch?v=93XfM5pWFo4</x:v>
      </x:c>
      <x:c r="L234" s="96" t="str">
        <x:v>https://www.youtube.com/@BrodieRobertson</x:v>
      </x:c>
    </x:row>
    <x:row r="235" ht="32" customHeight="1">
      <x:c r="A235" s="26" t="n">
        <x:v>229</x:v>
      </x:c>
      <x:c r="B235" s="26" t="str">
        <x:v>Video</x:v>
      </x:c>
      <x:c r="C235" s="27" t="str">
        <x:v>Retired Gladiator and Stuntman - Deron McBee AKA "Malibu"</x:v>
      </x:c>
      <x:c r="D235" t="str">
        <x:v>AFCRlwgX4iM</x:v>
      </x:c>
      <x:c r="E235" t="str">
        <x:v>Soft White Underbelly</x:v>
      </x:c>
      <x:c r="F235" t="str">
        <x:v>@SoftWhiteUnderbelly</x:v>
      </x:c>
      <x:c r="G235" s="26" t="str">
        <x:f>IF(OR(COUNTIF('Current Subscriptions'!$B$7:$B$83,E235)&gt;0,COUNTIF('Current Subscriptions'!$C$7:$C$83,F235)&gt;0),"Yes","No")</x:f>
        <x:v>No</x:v>
      </x:c>
      <x:c r="H235" s="26" t="str">
        <x:v>36K views</x:v>
      </x:c>
      <x:c r="I235" s="26" t="str">
        <x:v>9 days ago</x:v>
      </x:c>
      <x:c r="J235" s="26" t="str">
        <x:v>55:22</x:v>
      </x:c>
      <x:c r="K235" s="96" t="str">
        <x:v>https://www.youtube.com/watch?v=AFCRlwgX4iM&amp;pp=ugUEEgJlbg%3D%3D</x:v>
      </x:c>
      <x:c r="L235" s="96" t="str">
        <x:v>https://www.youtube.com/@SoftWhiteUnderbelly</x:v>
      </x:c>
    </x:row>
  </x:sheetData>
  <x:mergeCells>
    <x:mergeCell ref="A1:L1"/>
    <x:mergeCell ref="A2:L2"/>
    <x:mergeCell ref="A4:L4"/>
  </x:mergeCells>
  <x:pageMargins left="0.7" right="0.7" top="0.75" bottom="0.75" header="0.3" footer="0.3"/>
  <x:tableParts count="1">
    <x:tablePart xmlns:r="http://schemas.openxmlformats.org/officeDocument/2006/relationships" r:id="R03966ff18f894c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1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48" hidden="0" customWidth="1"/>
    <x:col min="9" max="9" width="48" hidden="0" customWidth="1"/>
  </x:cols>
  <x:sheetData>
    <x:row r="1" ht="34" customHeight="1">
      <x:c r="A1" s="94" t="str">
        <x:v>Adjacent Creator Candidates</x:v>
      </x:c>
      <x:c r="B1" s="94"/>
      <x:c r="C1" s="94"/>
      <x:c r="D1" s="94"/>
      <x:c r="E1" s="94"/>
      <x:c r="F1" s="94"/>
      <x:c r="G1" s="94"/>
      <x:c r="H1" s="94"/>
      <x:c r="I1" s="94"/>
    </x:row>
    <x:row r="2" ht="22" customHeight="1">
      <x:c r="A2" s="5" t="str">
        <x:v>New creators are listed first, then ranked by repeated Home appearances and original feed position.</x:v>
      </x:c>
      <x:c r="B2" s="5"/>
      <x:c r="C2" s="5"/>
      <x:c r="D2" s="5"/>
      <x:c r="E2" s="5"/>
      <x:c r="F2" s="5"/>
      <x:c r="G2" s="5"/>
      <x:c r="H2" s="5"/>
      <x:c r="I2" s="5"/>
    </x:row>
    <x:row r="4" ht="21" customHeight="1">
      <x:c r="A4" s="95" t="str">
        <x:v>“Home Appearances” counts how many distinct collected recommendations came from that creator.</x:v>
      </x:c>
      <x:c r="B4" s="95"/>
      <x:c r="C4" s="95"/>
      <x:c r="D4" s="95"/>
      <x:c r="E4" s="95"/>
      <x:c r="F4" s="95"/>
      <x:c r="G4" s="95"/>
      <x:c r="H4" s="95"/>
      <x:c r="I4" s="95"/>
    </x:row>
    <x:row r="6">
      <x:c r="A6" t="str">
        <x:v>Rank</x:v>
      </x:c>
      <x:c r="B6" t="str">
        <x:v>Creator</x:v>
      </x:c>
      <x:c r="C6" t="str">
        <x:v>Handle</x:v>
      </x:c>
      <x:c r="D6" t="str">
        <x:v>Subscribed?</x:v>
      </x:c>
      <x:c r="E6" t="str">
        <x:v>Home Appearances</x:v>
      </x:c>
      <x:c r="F6" t="str">
        <x:v>First Feed Position</x:v>
      </x:c>
      <x:c r="G6" t="str">
        <x:v>Content Types</x:v>
      </x:c>
      <x:c r="H6" t="str">
        <x:v>Example Video</x:v>
      </x:c>
      <x:c r="I6" t="str">
        <x:v>Channel URL</x:v>
      </x:c>
    </x:row>
    <x:row r="7" ht="32" customHeight="1">
      <x:c r="A7" s="26" t="n">
        <x:v>1</x:v>
      </x:c>
      <x:c r="B7" t="str">
        <x:v>Yellow Cherry Jam</x:v>
      </x:c>
      <x:c r="C7" t="str">
        <x:v>@yellowcherry_jam</x:v>
      </x:c>
      <x:c r="D7" s="26" t="str">
        <x:f>IF(OR(COUNTIF('Current Subscriptions'!$B$7:$B$83,B7)&gt;0,COUNTIF('Current Subscriptions'!$C$7:$C$83,C7)&gt;0),"Yes","No")</x:f>
        <x:v>No</x:v>
      </x:c>
      <x:c r="E7" s="26" t="n">
        <x:f>COUNTIF('Home Feed'!$E$7:$E$235,B7)</x:f>
        <x:v>9</x:v>
      </x:c>
      <x:c r="F7" s="26" t="n">
        <x:f>MINIFS('Home Feed'!$A$7:$A$235,'Home Feed'!$E$7:$E$235,B7)</x:f>
        <x:v>32</x:v>
      </x:c>
      <x:c r="G7" t="str">
        <x:v>Video</x:v>
      </x:c>
      <x:c r="H7" s="27" t="str">
        <x:f>XLOOKUP(B7,'Home Feed'!$E$7:$E$235,'Home Feed'!$C$7:$C$235,"")</x:f>
        <x:v>Let's get things done! 📚 No AI Lofi Pomodoro 50/10</x:v>
      </x:c>
      <x:c r="I7" s="96" t="str">
        <x:v>https://www.youtube.com/@yellowcherry_jam</x:v>
      </x:c>
    </x:row>
    <x:row r="8" ht="32" customHeight="1">
      <x:c r="A8" s="26" t="n">
        <x:v>2</x:v>
      </x:c>
      <x:c r="B8" t="str">
        <x:v>The PrimeTime</x:v>
      </x:c>
      <x:c r="C8" t="str">
        <x:v>@ThePrimeTimeagen</x:v>
      </x:c>
      <x:c r="D8" s="26" t="str">
        <x:f>IF(OR(COUNTIF('Current Subscriptions'!$B$7:$B$83,B8)&gt;0,COUNTIF('Current Subscriptions'!$C$7:$C$83,C8)&gt;0),"Yes","No")</x:f>
        <x:v>No</x:v>
      </x:c>
      <x:c r="E8" s="26" t="n">
        <x:f>COUNTIF('Home Feed'!$E$7:$E$235,B8)</x:f>
        <x:v>4</x:v>
      </x:c>
      <x:c r="F8" s="26" t="n">
        <x:f>MINIFS('Home Feed'!$A$7:$A$235,'Home Feed'!$E$7:$E$235,B8)</x:f>
        <x:v>6</x:v>
      </x:c>
      <x:c r="G8" t="str">
        <x:v>Video</x:v>
      </x:c>
      <x:c r="H8" s="27" t="str">
        <x:f>XLOOKUP(B8,'Home Feed'!$E$7:$E$235,'Home Feed'!$C$7:$C$235,"")</x:f>
        <x:v>Protecting Your Energy</x:v>
      </x:c>
      <x:c r="I8" s="96" t="str">
        <x:v>https://www.youtube.com/@ThePrimeTimeagen</x:v>
      </x:c>
    </x:row>
    <x:row r="9" ht="32" customHeight="1">
      <x:c r="A9" s="26" t="n">
        <x:v>3</x:v>
      </x:c>
      <x:c r="B9" t="str">
        <x:v>FluentU French</x:v>
      </x:c>
      <x:c r="C9" t="str">
        <x:v>@FluentUFrench</x:v>
      </x:c>
      <x:c r="D9" s="26" t="str">
        <x:f>IF(OR(COUNTIF('Current Subscriptions'!$B$7:$B$83,B9)&gt;0,COUNTIF('Current Subscriptions'!$C$7:$C$83,C9)&gt;0),"Yes","No")</x:f>
        <x:v>No</x:v>
      </x:c>
      <x:c r="E9" s="26" t="n">
        <x:f>COUNTIF('Home Feed'!$E$7:$E$235,B9)</x:f>
        <x:v>4</x:v>
      </x:c>
      <x:c r="F9" s="26" t="n">
        <x:f>MINIFS('Home Feed'!$A$7:$A$235,'Home Feed'!$E$7:$E$235,B9)</x:f>
        <x:v>94</x:v>
      </x:c>
      <x:c r="G9" t="str">
        <x:v>Mix, Video</x:v>
      </x:c>
      <x:c r="H9" s="27" t="str">
        <x:f>XLOOKUP(B9,'Home Feed'!$E$7:$E$235,'Home Feed'!$C$7:$C$235,"")</x:f>
        <x:v>Learn Advanced French with Movies: Ratatouille</x:v>
      </x:c>
      <x:c r="I9" s="96" t="str">
        <x:v>https://www.youtube.com/@FluentUFrench</x:v>
      </x:c>
    </x:row>
    <x:row r="10" ht="32" customHeight="1">
      <x:c r="A10" s="26" t="n">
        <x:v>4</x:v>
      </x:c>
      <x:c r="B10" t="str">
        <x:v>LaurieWired</x:v>
      </x:c>
      <x:c r="C10" t="str">
        <x:v>@lauriewired</x:v>
      </x:c>
      <x:c r="D10" s="26" t="str">
        <x:f>IF(OR(COUNTIF('Current Subscriptions'!$B$7:$B$83,B10)&gt;0,COUNTIF('Current Subscriptions'!$C$7:$C$83,C10)&gt;0),"Yes","No")</x:f>
        <x:v>No</x:v>
      </x:c>
      <x:c r="E10" s="26" t="n">
        <x:f>COUNTIF('Home Feed'!$E$7:$E$235,B10)</x:f>
        <x:v>3</x:v>
      </x:c>
      <x:c r="F10" s="26" t="n">
        <x:f>MINIFS('Home Feed'!$A$7:$A$235,'Home Feed'!$E$7:$E$235,B10)</x:f>
        <x:v>56</x:v>
      </x:c>
      <x:c r="G10" t="str">
        <x:v>Video</x:v>
      </x:c>
      <x:c r="H10" s="27" t="str">
        <x:f>XLOOKUP(B10,'Home Feed'!$E$7:$E$235,'Home Feed'!$C$7:$C$235,"")</x:f>
        <x:v>the true reason C++ always wins</x:v>
      </x:c>
      <x:c r="I10" s="96" t="str">
        <x:v>https://www.youtube.com/@lauriewired</x:v>
      </x:c>
    </x:row>
    <x:row r="11" ht="32" customHeight="1">
      <x:c r="A11" s="26" t="n">
        <x:v>5</x:v>
      </x:c>
      <x:c r="B11" t="str">
        <x:v>COULOU</x:v>
      </x:c>
      <x:c r="C11" t="str">
        <x:v>@coulou__</x:v>
      </x:c>
      <x:c r="D11" s="26" t="str">
        <x:f>IF(OR(COUNTIF('Current Subscriptions'!$B$7:$B$83,B11)&gt;0,COUNTIF('Current Subscriptions'!$C$7:$C$83,C11)&gt;0),"Yes","No")</x:f>
        <x:v>No</x:v>
      </x:c>
      <x:c r="E11" s="26" t="n">
        <x:f>COUNTIF('Home Feed'!$E$7:$E$235,B11)</x:f>
        <x:v>2</x:v>
      </x:c>
      <x:c r="F11" s="26" t="n">
        <x:f>MINIFS('Home Feed'!$A$7:$A$235,'Home Feed'!$E$7:$E$235,B11)</x:f>
        <x:v>2</x:v>
      </x:c>
      <x:c r="G11" t="str">
        <x:v>Video</x:v>
      </x:c>
      <x:c r="H11" s="27" t="str">
        <x:f>XLOOKUP(B11,'Home Feed'!$E$7:$E$235,'Home Feed'!$C$7:$C$235,"")</x:f>
        <x:v>coulou's cafe trumpet meditations (1hr) - relaxing river mix</x:v>
      </x:c>
      <x:c r="I11" s="96" t="str">
        <x:v>https://www.youtube.com/@coulou__</x:v>
      </x:c>
    </x:row>
    <x:row r="12" ht="32" customHeight="1">
      <x:c r="A12" s="26" t="n">
        <x:v>6</x:v>
      </x:c>
      <x:c r="B12" t="str">
        <x:v>Angela Collier</x:v>
      </x:c>
      <x:c r="C12" t="str">
        <x:v>@acollierastro</x:v>
      </x:c>
      <x:c r="D12" s="26" t="str">
        <x:f>IF(OR(COUNTIF('Current Subscriptions'!$B$7:$B$83,B12)&gt;0,COUNTIF('Current Subscriptions'!$C$7:$C$83,C12)&gt;0),"Yes","No")</x:f>
        <x:v>No</x:v>
      </x:c>
      <x:c r="E12" s="26" t="n">
        <x:f>COUNTIF('Home Feed'!$E$7:$E$235,B12)</x:f>
        <x:v>2</x:v>
      </x:c>
      <x:c r="F12" s="26" t="n">
        <x:f>MINIFS('Home Feed'!$A$7:$A$235,'Home Feed'!$E$7:$E$235,B12)</x:f>
        <x:v>24</x:v>
      </x:c>
      <x:c r="G12" t="str">
        <x:v>Video</x:v>
      </x:c>
      <x:c r="H12" s="27" t="str">
        <x:f>XLOOKUP(B12,'Home Feed'!$E$7:$E$235,'Home Feed'!$C$7:$C$235,"")</x:f>
        <x:v>this video is not about spark plugs</x:v>
      </x:c>
      <x:c r="I12" s="96" t="str">
        <x:v>https://www.youtube.com/@acollierastro</x:v>
      </x:c>
    </x:row>
    <x:row r="13" ht="32" customHeight="1">
      <x:c r="A13" s="26" t="n">
        <x:v>7</x:v>
      </x:c>
      <x:c r="B13" t="str">
        <x:v>Cody'sLab</x:v>
      </x:c>
      <x:c r="C13" t="str">
        <x:v>@theCodyReeder</x:v>
      </x:c>
      <x:c r="D13" s="26" t="str">
        <x:f>IF(OR(COUNTIF('Current Subscriptions'!$B$7:$B$83,B13)&gt;0,COUNTIF('Current Subscriptions'!$C$7:$C$83,C13)&gt;0),"Yes","No")</x:f>
        <x:v>No</x:v>
      </x:c>
      <x:c r="E13" s="26" t="n">
        <x:f>COUNTIF('Home Feed'!$E$7:$E$235,B13)</x:f>
        <x:v>2</x:v>
      </x:c>
      <x:c r="F13" s="26" t="n">
        <x:f>MINIFS('Home Feed'!$A$7:$A$235,'Home Feed'!$E$7:$E$235,B13)</x:f>
        <x:v>31</x:v>
      </x:c>
      <x:c r="G13" t="str">
        <x:v>Video</x:v>
      </x:c>
      <x:c r="H13" s="27" t="str">
        <x:f>XLOOKUP(B13,'Home Feed'!$E$7:$E$235,'Home Feed'!$C$7:$C$235,"")</x:f>
        <x:v>Continuous Feed Jar For Infinite Pickles</x:v>
      </x:c>
      <x:c r="I13" s="96" t="str">
        <x:v>https://www.youtube.com/@theCodyReeder</x:v>
      </x:c>
    </x:row>
    <x:row r="14" ht="32" customHeight="1">
      <x:c r="A14" s="26" t="n">
        <x:v>8</x:v>
      </x:c>
      <x:c r="B14" t="str">
        <x:v>Adam Savage’s Tested</x:v>
      </x:c>
      <x:c r="C14" t="str">
        <x:v>@tested</x:v>
      </x:c>
      <x:c r="D14" s="26" t="str">
        <x:f>IF(OR(COUNTIF('Current Subscriptions'!$B$7:$B$83,B14)&gt;0,COUNTIF('Current Subscriptions'!$C$7:$C$83,C14)&gt;0),"Yes","No")</x:f>
        <x:v>No</x:v>
      </x:c>
      <x:c r="E14" s="26" t="n">
        <x:f>COUNTIF('Home Feed'!$E$7:$E$235,B14)</x:f>
        <x:v>2</x:v>
      </x:c>
      <x:c r="F14" s="26" t="n">
        <x:f>MINIFS('Home Feed'!$A$7:$A$235,'Home Feed'!$E$7:$E$235,B14)</x:f>
        <x:v>34</x:v>
      </x:c>
      <x:c r="G14" t="str">
        <x:v>Video</x:v>
      </x:c>
      <x:c r="H14" s="27" t="str">
        <x:f>XLOOKUP(B14,'Home Feed'!$E$7:$E$235,'Home Feed'!$C$7:$C$235,"")</x:f>
        <x:v>The Truth About Turning Your Hobby Into a Job</x:v>
      </x:c>
      <x:c r="I14" s="96" t="str">
        <x:v>https://www.youtube.com/@tested</x:v>
      </x:c>
    </x:row>
    <x:row r="15" ht="32" customHeight="1">
      <x:c r="A15" s="26" t="n">
        <x:v>9</x:v>
      </x:c>
      <x:c r="B15" t="str">
        <x:v>Tottomori</x:v>
      </x:c>
      <x:c r="C15" t="str">
        <x:v>@tottomori</x:v>
      </x:c>
      <x:c r="D15" s="26" t="str">
        <x:f>IF(OR(COUNTIF('Current Subscriptions'!$B$7:$B$83,B15)&gt;0,COUNTIF('Current Subscriptions'!$C$7:$C$83,C15)&gt;0),"Yes","No")</x:f>
        <x:v>No</x:v>
      </x:c>
      <x:c r="E15" s="26" t="n">
        <x:f>COUNTIF('Home Feed'!$E$7:$E$235,B15)</x:f>
        <x:v>2</x:v>
      </x:c>
      <x:c r="F15" s="26" t="n">
        <x:f>MINIFS('Home Feed'!$A$7:$A$235,'Home Feed'!$E$7:$E$235,B15)</x:f>
        <x:v>40</x:v>
      </x:c>
      <x:c r="G15" t="str">
        <x:v>Video</x:v>
      </x:c>
      <x:c r="H15" s="27" t="str">
        <x:f>XLOOKUP(B15,'Home Feed'!$E$7:$E$235,'Home Feed'!$C$7:$C$235,"")</x:f>
        <x:v>Tottomori ~ Callenwood Wavefinder [Full album]</x:v>
      </x:c>
      <x:c r="I15" s="96" t="str">
        <x:v>https://www.youtube.com/@tottomori</x:v>
      </x:c>
    </x:row>
    <x:row r="16" ht="32" customHeight="1">
      <x:c r="A16" s="26" t="n">
        <x:v>10</x:v>
      </x:c>
      <x:c r="B16" t="str">
        <x:v>Midwest Magic Cleaning</x:v>
      </x:c>
      <x:c r="C16" t="str">
        <x:v>@MidwestMagicCleaning</x:v>
      </x:c>
      <x:c r="D16" s="26" t="str">
        <x:f>IF(OR(COUNTIF('Current Subscriptions'!$B$7:$B$83,B16)&gt;0,COUNTIF('Current Subscriptions'!$C$7:$C$83,C16)&gt;0),"Yes","No")</x:f>
        <x:v>No</x:v>
      </x:c>
      <x:c r="E16" s="26" t="n">
        <x:f>COUNTIF('Home Feed'!$E$7:$E$235,B16)</x:f>
        <x:v>2</x:v>
      </x:c>
      <x:c r="F16" s="26" t="n">
        <x:f>MINIFS('Home Feed'!$A$7:$A$235,'Home Feed'!$E$7:$E$235,B16)</x:f>
        <x:v>45</x:v>
      </x:c>
      <x:c r="G16" t="str">
        <x:v>Video</x:v>
      </x:c>
      <x:c r="H16" s="27" t="str">
        <x:f>XLOOKUP(B16,'Home Feed'!$E$7:$E$235,'Home Feed'!$C$7:$C$235,"")</x:f>
        <x:v>Let's Help This 83-Year-Old for FREE!</x:v>
      </x:c>
      <x:c r="I16" s="96" t="str">
        <x:v>https://www.youtube.com/@MidwestMagicCleaning</x:v>
      </x:c>
    </x:row>
    <x:row r="17" ht="32" customHeight="1">
      <x:c r="A17" s="26" t="n">
        <x:v>11</x:v>
      </x:c>
      <x:c r="B17" t="str">
        <x:v>Cliff Ennico</x:v>
      </x:c>
      <x:c r="C17" t="str">
        <x:v>@cliffennico5793</x:v>
      </x:c>
      <x:c r="D17" s="26" t="str">
        <x:f>IF(OR(COUNTIF('Current Subscriptions'!$B$7:$B$83,B17)&gt;0,COUNTIF('Current Subscriptions'!$C$7:$C$83,C17)&gt;0),"Yes","No")</x:f>
        <x:v>No</x:v>
      </x:c>
      <x:c r="E17" s="26" t="n">
        <x:f>COUNTIF('Home Feed'!$E$7:$E$235,B17)</x:f>
        <x:v>2</x:v>
      </x:c>
      <x:c r="F17" s="26" t="n">
        <x:f>MINIFS('Home Feed'!$A$7:$A$235,'Home Feed'!$E$7:$E$235,B17)</x:f>
        <x:v>54</x:v>
      </x:c>
      <x:c r="G17" t="str">
        <x:v>Video</x:v>
      </x:c>
      <x:c r="H17" s="27" t="str">
        <x:f>XLOOKUP(B17,'Home Feed'!$E$7:$E$235,'Home Feed'!$C$7:$C$235,"")</x:f>
        <x:v>Starting a Small Business, Part I: What Successful Entrepreneurs Have That Others Don't</x:v>
      </x:c>
      <x:c r="I17" s="96" t="str">
        <x:v>https://www.youtube.com/@cliffennico5793</x:v>
      </x:c>
    </x:row>
    <x:row r="18" ht="32" customHeight="1">
      <x:c r="A18" s="26" t="n">
        <x:v>12</x:v>
      </x:c>
      <x:c r="B18" t="str">
        <x:v>Newel of Knowledge</x:v>
      </x:c>
      <x:c r="C18" t="str">
        <x:v>@NewelOfKnowledge</x:v>
      </x:c>
      <x:c r="D18" s="26" t="str">
        <x:f>IF(OR(COUNTIF('Current Subscriptions'!$B$7:$B$83,B18)&gt;0,COUNTIF('Current Subscriptions'!$C$7:$C$83,C18)&gt;0),"Yes","No")</x:f>
        <x:v>No</x:v>
      </x:c>
      <x:c r="E18" s="26" t="n">
        <x:f>COUNTIF('Home Feed'!$E$7:$E$235,B18)</x:f>
        <x:v>2</x:v>
      </x:c>
      <x:c r="F18" s="26" t="n">
        <x:f>MINIFS('Home Feed'!$A$7:$A$235,'Home Feed'!$E$7:$E$235,B18)</x:f>
        <x:v>68</x:v>
      </x:c>
      <x:c r="G18" t="str">
        <x:v>Video</x:v>
      </x:c>
      <x:c r="H18" s="27" t="str">
        <x:f>XLOOKUP(B18,'Home Feed'!$E$7:$E$235,'Home Feed'!$C$7:$C$235,"")</x:f>
        <x:v>how to *quickly* escape a dopamine hole</x:v>
      </x:c>
      <x:c r="I18" s="96" t="str">
        <x:v>https://www.youtube.com/@NewelOfKnowledge</x:v>
      </x:c>
    </x:row>
    <x:row r="19" ht="32" customHeight="1">
      <x:c r="A19" s="26" t="n">
        <x:v>13</x:v>
      </x:c>
      <x:c r="B19" t="str">
        <x:v>NPR Music</x:v>
      </x:c>
      <x:c r="C19" t="str">
        <x:v>@nprmusic</x:v>
      </x:c>
      <x:c r="D19" s="26" t="str">
        <x:f>IF(OR(COUNTIF('Current Subscriptions'!$B$7:$B$83,B19)&gt;0,COUNTIF('Current Subscriptions'!$C$7:$C$83,C19)&gt;0),"Yes","No")</x:f>
        <x:v>No</x:v>
      </x:c>
      <x:c r="E19" s="26" t="n">
        <x:f>COUNTIF('Home Feed'!$E$7:$E$235,B19)</x:f>
        <x:v>2</x:v>
      </x:c>
      <x:c r="F19" s="26" t="n">
        <x:f>MINIFS('Home Feed'!$A$7:$A$235,'Home Feed'!$E$7:$E$235,B19)</x:f>
        <x:v>81</x:v>
      </x:c>
      <x:c r="G19" t="str">
        <x:v>Video</x:v>
      </x:c>
      <x:c r="H19" s="27" t="str">
        <x:f>XLOOKUP(B19,'Home Feed'!$E$7:$E$235,'Home Feed'!$C$7:$C$235,"")</x:f>
        <x:v>Billy Strings: Tiny Desk Concert</x:v>
      </x:c>
      <x:c r="I19" s="96" t="str">
        <x:v>https://www.youtube.com/@nprmusic</x:v>
      </x:c>
    </x:row>
    <x:row r="20" ht="32" customHeight="1">
      <x:c r="A20" s="26" t="n">
        <x:v>14</x:v>
      </x:c>
      <x:c r="B20" t="str">
        <x:v>Soft White Underbelly</x:v>
      </x:c>
      <x:c r="C20" t="str">
        <x:v>@SoftWhiteUnderbelly</x:v>
      </x:c>
      <x:c r="D20" s="26" t="str">
        <x:f>IF(OR(COUNTIF('Current Subscriptions'!$B$7:$B$83,B20)&gt;0,COUNTIF('Current Subscriptions'!$C$7:$C$83,C20)&gt;0),"Yes","No")</x:f>
        <x:v>No</x:v>
      </x:c>
      <x:c r="E20" s="26" t="n">
        <x:f>COUNTIF('Home Feed'!$E$7:$E$235,B20)</x:f>
        <x:v>2</x:v>
      </x:c>
      <x:c r="F20" s="26" t="n">
        <x:f>MINIFS('Home Feed'!$A$7:$A$235,'Home Feed'!$E$7:$E$235,B20)</x:f>
        <x:v>85</x:v>
      </x:c>
      <x:c r="G20" t="str">
        <x:v>Video</x:v>
      </x:c>
      <x:c r="H20" s="27" t="str">
        <x:f>XLOOKUP(B20,'Home Feed'!$E$7:$E$235,'Home Feed'!$C$7:$C$235,"")</x:f>
        <x:v>Hunting Humans - Detective Howie Ryan and Clark Fredericks</x:v>
      </x:c>
      <x:c r="I20" s="96" t="str">
        <x:v>https://www.youtube.com/@SoftWhiteUnderbelly</x:v>
      </x:c>
    </x:row>
    <x:row r="21" ht="32" customHeight="1">
      <x:c r="A21" s="26" t="n">
        <x:v>15</x:v>
      </x:c>
      <x:c r="B21" t="str">
        <x:v>Taylor Swift</x:v>
      </x:c>
      <x:c r="C21" t="str">
        <x:v>@TaylorSwift</x:v>
      </x:c>
      <x:c r="D21" s="26" t="str">
        <x:f>IF(OR(COUNTIF('Current Subscriptions'!$B$7:$B$83,B21)&gt;0,COUNTIF('Current Subscriptions'!$C$7:$C$83,C21)&gt;0),"Yes","No")</x:f>
        <x:v>No</x:v>
      </x:c>
      <x:c r="E21" s="26" t="n">
        <x:f>COUNTIF('Home Feed'!$E$7:$E$235,B21)</x:f>
        <x:v>2</x:v>
      </x:c>
      <x:c r="F21" s="26" t="n">
        <x:f>MINIFS('Home Feed'!$A$7:$A$235,'Home Feed'!$E$7:$E$235,B21)</x:f>
        <x:v>113</x:v>
      </x:c>
      <x:c r="G21" t="str">
        <x:v>Mix</x:v>
      </x:c>
      <x:c r="H21" s="27" t="str">
        <x:f>XLOOKUP(B21,'Home Feed'!$E$7:$E$235,'Home Feed'!$C$7:$C$235,"")</x:f>
        <x:v>Mix - Taylor Swift - Fortnight (feat. Post Malone) (Official Music Video)</x:v>
      </x:c>
      <x:c r="I21" s="96" t="str">
        <x:v>https://www.youtube.com/@TaylorSwift</x:v>
      </x:c>
    </x:row>
    <x:row r="22" ht="32" customHeight="1">
      <x:c r="A22" s="26" t="n">
        <x:v>16</x:v>
      </x:c>
      <x:c r="B22" t="str">
        <x:v>ProjectMaria</x:v>
      </x:c>
      <x:c r="C22" t="str">
        <x:v>@pr0jectmaria</x:v>
      </x:c>
      <x:c r="D22" s="26" t="str">
        <x:f>IF(OR(COUNTIF('Current Subscriptions'!$B$7:$B$83,B22)&gt;0,COUNTIF('Current Subscriptions'!$C$7:$C$83,C22)&gt;0),"Yes","No")</x:f>
        <x:v>No</x:v>
      </x:c>
      <x:c r="E22" s="26" t="n">
        <x:f>COUNTIF('Home Feed'!$E$7:$E$235,B22)</x:f>
        <x:v>2</x:v>
      </x:c>
      <x:c r="F22" s="26" t="n">
        <x:f>MINIFS('Home Feed'!$A$7:$A$235,'Home Feed'!$E$7:$E$235,B22)</x:f>
        <x:v>128</x:v>
      </x:c>
      <x:c r="G22" t="str">
        <x:v>Video</x:v>
      </x:c>
      <x:c r="H22" s="27" t="str">
        <x:f>XLOOKUP(B22,'Home Feed'!$E$7:$E$235,'Home Feed'!$C$7:$C$235,"")</x:f>
        <x:v>Teaching Myself Electronics (Part Two)</x:v>
      </x:c>
      <x:c r="I22" s="96" t="str">
        <x:v>https://www.youtube.com/@pr0jectmaria</x:v>
      </x:c>
    </x:row>
    <x:row r="23" ht="32" customHeight="1">
      <x:c r="A23" s="26" t="n">
        <x:v>17</x:v>
      </x:c>
      <x:c r="B23" t="str">
        <x:v>thubprint</x:v>
      </x:c>
      <x:c r="C23" t="str">
        <x:v>@thubprint</x:v>
      </x:c>
      <x:c r="D23" s="26" t="str">
        <x:f>IF(OR(COUNTIF('Current Subscriptions'!$B$7:$B$83,B23)&gt;0,COUNTIF('Current Subscriptions'!$C$7:$C$83,C23)&gt;0),"Yes","No")</x:f>
        <x:v>No</x:v>
      </x:c>
      <x:c r="E23" s="26" t="n">
        <x:f>COUNTIF('Home Feed'!$E$7:$E$235,B23)</x:f>
        <x:v>2</x:v>
      </x:c>
      <x:c r="F23" s="26" t="n">
        <x:f>MINIFS('Home Feed'!$A$7:$A$235,'Home Feed'!$E$7:$E$235,B23)</x:f>
        <x:v>144</x:v>
      </x:c>
      <x:c r="G23" t="str">
        <x:v>Video</x:v>
      </x:c>
      <x:c r="H23" s="27" t="str">
        <x:f>XLOOKUP(B23,'Home Feed'!$E$7:$E$235,'Home Feed'!$C$7:$C$235,"")</x:f>
        <x:v>Scrapping A Flatscreen TV - How To Make Money From A Scrap TV!</x:v>
      </x:c>
      <x:c r="I23" s="96" t="str">
        <x:v>https://www.youtube.com/@thubprint</x:v>
      </x:c>
    </x:row>
    <x:row r="24" ht="32" customHeight="1">
      <x:c r="A24" s="26" t="n">
        <x:v>18</x:v>
      </x:c>
      <x:c r="B24" t="str">
        <x:v>Big Think</x:v>
      </x:c>
      <x:c r="C24" t="str">
        <x:v>@bigthink</x:v>
      </x:c>
      <x:c r="D24" s="26" t="str">
        <x:f>IF(OR(COUNTIF('Current Subscriptions'!$B$7:$B$83,B24)&gt;0,COUNTIF('Current Subscriptions'!$C$7:$C$83,C24)&gt;0),"Yes","No")</x:f>
        <x:v>No</x:v>
      </x:c>
      <x:c r="E24" s="26" t="n">
        <x:f>COUNTIF('Home Feed'!$E$7:$E$235,B24)</x:f>
        <x:v>2</x:v>
      </x:c>
      <x:c r="F24" s="26" t="n">
        <x:f>MINIFS('Home Feed'!$A$7:$A$235,'Home Feed'!$E$7:$E$235,B24)</x:f>
        <x:v>160</x:v>
      </x:c>
      <x:c r="G24" t="str">
        <x:v>Video</x:v>
      </x:c>
      <x:c r="H24" s="27" t="str">
        <x:f>XLOOKUP(B24,'Home Feed'!$E$7:$E$235,'Home Feed'!$C$7:$C$235,"")</x:f>
        <x:v>How childhood wiring impacts adult life, in 90 minutes | Becky Kennedy: Full Interview</x:v>
      </x:c>
      <x:c r="I24" s="96" t="str">
        <x:v>https://www.youtube.com/@bigthink</x:v>
      </x:c>
    </x:row>
    <x:row r="25" ht="32" customHeight="1">
      <x:c r="A25" s="26" t="n">
        <x:v>19</x:v>
      </x:c>
      <x:c r="B25" t="str">
        <x:v>Easy French Talk</x:v>
      </x:c>
      <x:c r="C25" t="str">
        <x:v>@EasyFrenchTalk</x:v>
      </x:c>
      <x:c r="D25" s="26" t="str">
        <x:f>IF(OR(COUNTIF('Current Subscriptions'!$B$7:$B$83,B25)&gt;0,COUNTIF('Current Subscriptions'!$C$7:$C$83,C25)&gt;0),"Yes","No")</x:f>
        <x:v>No</x:v>
      </x:c>
      <x:c r="E25" s="26" t="n">
        <x:f>COUNTIF('Home Feed'!$E$7:$E$235,B25)</x:f>
        <x:v>2</x:v>
      </x:c>
      <x:c r="F25" s="26" t="n">
        <x:f>MINIFS('Home Feed'!$A$7:$A$235,'Home Feed'!$E$7:$E$235,B25)</x:f>
        <x:v>191</x:v>
      </x:c>
      <x:c r="G25" t="str">
        <x:v>Mix, Video</x:v>
      </x:c>
      <x:c r="H25" s="27" t="str">
        <x:f>XLOOKUP(B25,'Home Feed'!$E$7:$E$235,'Home Feed'!$C$7:$C$235,"")</x:f>
        <x:v>French Podcast</x:v>
      </x:c>
      <x:c r="I25" s="96" t="str">
        <x:v>https://www.youtube.com/@EasyFrenchTalk</x:v>
      </x:c>
    </x:row>
    <x:row r="26" ht="32" customHeight="1">
      <x:c r="A26" s="26" t="n">
        <x:v>20</x:v>
      </x:c>
      <x:c r="B26" t="str">
        <x:v>ThePrimeagenHighlights</x:v>
      </x:c>
      <x:c r="C26" t="str">
        <x:v>@ThePrimeagenHighlights</x:v>
      </x:c>
      <x:c r="D26" s="26" t="str">
        <x:f>IF(OR(COUNTIF('Current Subscriptions'!$B$7:$B$83,B26)&gt;0,COUNTIF('Current Subscriptions'!$C$7:$C$83,C26)&gt;0),"Yes","No")</x:f>
        <x:v>No</x:v>
      </x:c>
      <x:c r="E26" s="26" t="n">
        <x:f>COUNTIF('Home Feed'!$E$7:$E$235,B26)</x:f>
        <x:v>2</x:v>
      </x:c>
      <x:c r="F26" s="26" t="n">
        <x:f>MINIFS('Home Feed'!$A$7:$A$235,'Home Feed'!$E$7:$E$235,B26)</x:f>
        <x:v>205</x:v>
      </x:c>
      <x:c r="G26" t="str">
        <x:v>Video</x:v>
      </x:c>
      <x:c r="H26" s="27" t="str">
        <x:f>XLOOKUP(B26,'Home Feed'!$E$7:$E$235,'Home Feed'!$C$7:$C$235,"")</x:f>
        <x:v>OpenAI Founder Admits AI Isn’t Working | Prime Reacts</x:v>
      </x:c>
      <x:c r="I26" s="96" t="str">
        <x:v>https://www.youtube.com/@ThePrimeagenHighlights</x:v>
      </x:c>
    </x:row>
    <x:row r="27" ht="32" customHeight="1">
      <x:c r="A27" s="26" t="n">
        <x:v>21</x:v>
      </x:c>
      <x:c r="B27" t="str">
        <x:v>Eero Alvar</x:v>
      </x:c>
      <x:c r="C27" t="str">
        <x:v>@EeroAlvar</x:v>
      </x:c>
      <x:c r="D27" s="26" t="str">
        <x:f>IF(OR(COUNTIF('Current Subscriptions'!$B$7:$B$83,B27)&gt;0,COUNTIF('Current Subscriptions'!$C$7:$C$83,C27)&gt;0),"Yes","No")</x:f>
        <x:v>No</x:v>
      </x:c>
      <x:c r="E27" s="26" t="n">
        <x:f>COUNTIF('Home Feed'!$E$7:$E$235,B27)</x:f>
        <x:v>1</x:v>
      </x:c>
      <x:c r="F27" s="26" t="n">
        <x:f>MINIFS('Home Feed'!$A$7:$A$235,'Home Feed'!$E$7:$E$235,B27)</x:f>
        <x:v>1</x:v>
      </x:c>
      <x:c r="G27" t="str">
        <x:v>Video</x:v>
      </x:c>
      <x:c r="H27" s="27" t="str">
        <x:f>XLOOKUP(B27,'Home Feed'!$E$7:$E$235,'Home Feed'!$C$7:$C$235,"")</x:f>
        <x:v>How I Use AI to Learn Things</x:v>
      </x:c>
      <x:c r="I27" s="96" t="str">
        <x:v>https://www.youtube.com/@EeroAlvar</x:v>
      </x:c>
    </x:row>
    <x:row r="28" ht="32" customHeight="1">
      <x:c r="A28" s="26" t="n">
        <x:v>22</x:v>
      </x:c>
      <x:c r="B28" t="str">
        <x:v>penguinz0</x:v>
      </x:c>
      <x:c r="C28" t="str">
        <x:v>@penguinz0</x:v>
      </x:c>
      <x:c r="D28" s="26" t="str">
        <x:f>IF(OR(COUNTIF('Current Subscriptions'!$B$7:$B$83,B28)&gt;0,COUNTIF('Current Subscriptions'!$C$7:$C$83,C28)&gt;0),"Yes","No")</x:f>
        <x:v>No</x:v>
      </x:c>
      <x:c r="E28" s="26" t="n">
        <x:f>COUNTIF('Home Feed'!$E$7:$E$235,B28)</x:f>
        <x:v>1</x:v>
      </x:c>
      <x:c r="F28" s="26" t="n">
        <x:f>MINIFS('Home Feed'!$A$7:$A$235,'Home Feed'!$E$7:$E$235,B28)</x:f>
        <x:v>3</x:v>
      </x:c>
      <x:c r="G28" t="str">
        <x:v>Video</x:v>
      </x:c>
      <x:c r="H28" s="27" t="str">
        <x:f>XLOOKUP(B28,'Home Feed'!$E$7:$E$235,'Home Feed'!$C$7:$C$235,"")</x:f>
        <x:v>Not Surprised At All</x:v>
      </x:c>
      <x:c r="I28" s="96" t="str">
        <x:v>https://www.youtube.com/@penguinz0</x:v>
      </x:c>
    </x:row>
    <x:row r="29" ht="32" customHeight="1">
      <x:c r="A29" s="26" t="n">
        <x:v>23</x:v>
      </x:c>
      <x:c r="B29" t="str">
        <x:v>Carol Dantas</x:v>
      </x:c>
      <x:c r="C29" t="str">
        <x:v>@miss_dantas</x:v>
      </x:c>
      <x:c r="D29" s="26" t="str">
        <x:f>IF(OR(COUNTIF('Current Subscriptions'!$B$7:$B$83,B29)&gt;0,COUNTIF('Current Subscriptions'!$C$7:$C$83,C29)&gt;0),"Yes","No")</x:f>
        <x:v>No</x:v>
      </x:c>
      <x:c r="E29" s="26" t="n">
        <x:f>COUNTIF('Home Feed'!$E$7:$E$235,B29)</x:f>
        <x:v>1</x:v>
      </x:c>
      <x:c r="F29" s="26" t="n">
        <x:f>MINIFS('Home Feed'!$A$7:$A$235,'Home Feed'!$E$7:$E$235,B29)</x:f>
        <x:v>4</x:v>
      </x:c>
      <x:c r="G29" t="str">
        <x:v>Video</x:v>
      </x:c>
      <x:c r="H29" s="27" t="str">
        <x:f>XLOOKUP(B29,'Home Feed'!$E$7:$E$235,'Home Feed'!$C$7:$C$235,"")</x:f>
        <x:v>The Shame of Not Being Enough for Them</x:v>
      </x:c>
      <x:c r="I29" s="96" t="str">
        <x:v>https://www.youtube.com/@miss_dantas</x:v>
      </x:c>
    </x:row>
    <x:row r="30" ht="32" customHeight="1">
      <x:c r="A30" s="26" t="n">
        <x:v>24</x:v>
      </x:c>
      <x:c r="B30" t="str">
        <x:v>Five By Nine</x:v>
      </x:c>
      <x:c r="C30" t="str">
        <x:v>@fivebynine</x:v>
      </x:c>
      <x:c r="D30" s="26" t="str">
        <x:f>IF(OR(COUNTIF('Current Subscriptions'!$B$7:$B$83,B30)&gt;0,COUNTIF('Current Subscriptions'!$C$7:$C$83,C30)&gt;0),"Yes","No")</x:f>
        <x:v>No</x:v>
      </x:c>
      <x:c r="E30" s="26" t="n">
        <x:f>COUNTIF('Home Feed'!$E$7:$E$235,B30)</x:f>
        <x:v>1</x:v>
      </x:c>
      <x:c r="F30" s="26" t="n">
        <x:f>MINIFS('Home Feed'!$A$7:$A$235,'Home Feed'!$E$7:$E$235,B30)</x:f>
        <x:v>5</x:v>
      </x:c>
      <x:c r="G30" t="str">
        <x:v>Video</x:v>
      </x:c>
      <x:c r="H30" s="27" t="str">
        <x:f>XLOOKUP(B30,'Home Feed'!$E$7:$E$235,'Home Feed'!$C$7:$C$235,"")</x:f>
        <x:v>the neuroscience behind why some homes feel good but most don't</x:v>
      </x:c>
      <x:c r="I30" s="96" t="str">
        <x:v>https://www.youtube.com/@fivebynine</x:v>
      </x:c>
    </x:row>
    <x:row r="31" ht="32" customHeight="1">
      <x:c r="A31" s="26" t="n">
        <x:v>25</x:v>
      </x:c>
      <x:c r="B31" t="str">
        <x:v>FJSCopper</x:v>
      </x:c>
      <x:c r="C31" t="str">
        <x:v>@FJSCopper</x:v>
      </x:c>
      <x:c r="D31" s="26" t="str">
        <x:f>IF(OR(COUNTIF('Current Subscriptions'!$B$7:$B$83,B31)&gt;0,COUNTIF('Current Subscriptions'!$C$7:$C$83,C31)&gt;0),"Yes","No")</x:f>
        <x:v>No</x:v>
      </x:c>
      <x:c r="E31" s="26" t="n">
        <x:f>COUNTIF('Home Feed'!$E$7:$E$235,B31)</x:f>
        <x:v>1</x:v>
      </x:c>
      <x:c r="F31" s="26" t="n">
        <x:f>MINIFS('Home Feed'!$A$7:$A$235,'Home Feed'!$E$7:$E$235,B31)</x:f>
        <x:v>7</x:v>
      </x:c>
      <x:c r="G31" t="str">
        <x:v>Short</x:v>
      </x:c>
      <x:c r="H31" s="27" t="str">
        <x:f>XLOOKUP(B31,'Home Feed'!$E$7:$E$235,'Home Feed'!$C$7:$C$235,"")</x:f>
        <x:v>Why We Don’t Sell Our Copper as Scrap 🔥…</x:v>
      </x:c>
      <x:c r="I31" s="96" t="str">
        <x:v>https://www.youtube.com/@FJSCopper</x:v>
      </x:c>
    </x:row>
    <x:row r="32" ht="32" customHeight="1">
      <x:c r="A32" s="26" t="n">
        <x:v>26</x:v>
      </x:c>
      <x:c r="B32" t="str">
        <x:v>SMD VIBE</x:v>
      </x:c>
      <x:c r="C32" t="str">
        <x:v>@smdvibe</x:v>
      </x:c>
      <x:c r="D32" s="26" t="str">
        <x:f>IF(OR(COUNTIF('Current Subscriptions'!$B$7:$B$83,B32)&gt;0,COUNTIF('Current Subscriptions'!$C$7:$C$83,C32)&gt;0),"Yes","No")</x:f>
        <x:v>No</x:v>
      </x:c>
      <x:c r="E32" s="26" t="n">
        <x:f>COUNTIF('Home Feed'!$E$7:$E$235,B32)</x:f>
        <x:v>1</x:v>
      </x:c>
      <x:c r="F32" s="26" t="n">
        <x:f>MINIFS('Home Feed'!$A$7:$A$235,'Home Feed'!$E$7:$E$235,B32)</x:f>
        <x:v>8</x:v>
      </x:c>
      <x:c r="G32" t="str">
        <x:v>Short</x:v>
      </x:c>
      <x:c r="H32" s="27" t="str">
        <x:f>XLOOKUP(B32,'Home Feed'!$E$7:$E$235,'Home Feed'!$C$7:$C$235,"")</x:f>
        <x:v>Does This Really Work?! 🔥 SMD Soldering &amp; PCB Tinning With a Transistor-Powered Soldering Station</x:v>
      </x:c>
      <x:c r="I32" s="96" t="str">
        <x:v>https://www.youtube.com/@smdvibe</x:v>
      </x:c>
    </x:row>
    <x:row r="33" ht="32" customHeight="1">
      <x:c r="A33" s="26" t="n">
        <x:v>27</x:v>
      </x:c>
      <x:c r="B33" t="str">
        <x:v>ideal institute aligarh</x:v>
      </x:c>
      <x:c r="C33" t="str">
        <x:v>@idealinstitutealigarh</x:v>
      </x:c>
      <x:c r="D33" s="26" t="str">
        <x:f>IF(OR(COUNTIF('Current Subscriptions'!$B$7:$B$83,B33)&gt;0,COUNTIF('Current Subscriptions'!$C$7:$C$83,C33)&gt;0),"Yes","No")</x:f>
        <x:v>No</x:v>
      </x:c>
      <x:c r="E33" s="26" t="n">
        <x:f>COUNTIF('Home Feed'!$E$7:$E$235,B33)</x:f>
        <x:v>1</x:v>
      </x:c>
      <x:c r="F33" s="26" t="n">
        <x:f>MINIFS('Home Feed'!$A$7:$A$235,'Home Feed'!$E$7:$E$235,B33)</x:f>
        <x:v>9</x:v>
      </x:c>
      <x:c r="G33" t="str">
        <x:v>Short</x:v>
      </x:c>
      <x:c r="H33" s="27" t="str">
        <x:f>XLOOKUP(B33,'Home Feed'!$E$7:$E$235,'Home Feed'!$C$7:$C$235,"")</x:f>
        <x:v>Remove Chip Glue Easily…</x:v>
      </x:c>
      <x:c r="I33" s="96" t="str">
        <x:v>https://www.youtube.com/@idealinstitutealigarh</x:v>
      </x:c>
    </x:row>
    <x:row r="34" ht="32" customHeight="1">
      <x:c r="A34" s="26" t="n">
        <x:v>28</x:v>
      </x:c>
      <x:c r="B34" t="str">
        <x:v>Clip Rotter</x:v>
      </x:c>
      <x:c r="C34" t="str">
        <x:v>@ClipRotter</x:v>
      </x:c>
      <x:c r="D34" s="26" t="str">
        <x:f>IF(OR(COUNTIF('Current Subscriptions'!$B$7:$B$83,B34)&gt;0,COUNTIF('Current Subscriptions'!$C$7:$C$83,C34)&gt;0),"Yes","No")</x:f>
        <x:v>No</x:v>
      </x:c>
      <x:c r="E34" s="26" t="n">
        <x:f>COUNTIF('Home Feed'!$E$7:$E$235,B34)</x:f>
        <x:v>1</x:v>
      </x:c>
      <x:c r="F34" s="26" t="n">
        <x:f>MINIFS('Home Feed'!$A$7:$A$235,'Home Feed'!$E$7:$E$235,B34)</x:f>
        <x:v>10</x:v>
      </x:c>
      <x:c r="G34" t="str">
        <x:v>Short</x:v>
      </x:c>
      <x:c r="H34" s="27" t="str">
        <x:f>XLOOKUP(B34,'Home Feed'!$E$7:$E$235,'Home Feed'!$C$7:$C$235,"")</x:f>
        <x:v>The Genius Reason People Braid Their Grass</x:v>
      </x:c>
      <x:c r="I34" s="96" t="str">
        <x:v>https://www.youtube.com/@ClipRotter</x:v>
      </x:c>
    </x:row>
    <x:row r="35" ht="32" customHeight="1">
      <x:c r="A35" s="26" t="n">
        <x:v>29</x:v>
      </x:c>
      <x:c r="B35" t="str">
        <x:v>Natalie Gee</x:v>
      </x:c>
      <x:c r="C35" t="str">
        <x:v>@natalie_gee</x:v>
      </x:c>
      <x:c r="D35" s="26" t="str">
        <x:f>IF(OR(COUNTIF('Current Subscriptions'!$B$7:$B$83,B35)&gt;0,COUNTIF('Current Subscriptions'!$C$7:$C$83,C35)&gt;0),"Yes","No")</x:f>
        <x:v>No</x:v>
      </x:c>
      <x:c r="E35" s="26" t="n">
        <x:f>COUNTIF('Home Feed'!$E$7:$E$235,B35)</x:f>
        <x:v>1</x:v>
      </x:c>
      <x:c r="F35" s="26" t="n">
        <x:f>MINIFS('Home Feed'!$A$7:$A$235,'Home Feed'!$E$7:$E$235,B35)</x:f>
        <x:v>11</x:v>
      </x:c>
      <x:c r="G35" t="str">
        <x:v>Short</x:v>
      </x:c>
      <x:c r="H35" s="27" t="str">
        <x:f>XLOOKUP(B35,'Home Feed'!$E$7:$E$235,'Home Feed'!$C$7:$C$235,"")</x:f>
        <x:v>my dad ⚒️</x:v>
      </x:c>
      <x:c r="I35" s="96" t="str">
        <x:v>https://www.youtube.com/@natalie_gee</x:v>
      </x:c>
    </x:row>
    <x:row r="36" ht="32" customHeight="1">
      <x:c r="A36" s="26" t="n">
        <x:v>30</x:v>
      </x:c>
      <x:c r="B36" t="str">
        <x:v>convar HUN</x:v>
      </x:c>
      <x:c r="C36" t="str">
        <x:v>@convarHUN</x:v>
      </x:c>
      <x:c r="D36" s="26" t="str">
        <x:f>IF(OR(COUNTIF('Current Subscriptions'!$B$7:$B$83,B36)&gt;0,COUNTIF('Current Subscriptions'!$C$7:$C$83,C36)&gt;0),"Yes","No")</x:f>
        <x:v>No</x:v>
      </x:c>
      <x:c r="E36" s="26" t="n">
        <x:f>COUNTIF('Home Feed'!$E$7:$E$235,B36)</x:f>
        <x:v>1</x:v>
      </x:c>
      <x:c r="F36" s="26" t="n">
        <x:f>MINIFS('Home Feed'!$A$7:$A$235,'Home Feed'!$E$7:$E$235,B36)</x:f>
        <x:v>12</x:v>
      </x:c>
      <x:c r="G36" t="str">
        <x:v>Mix</x:v>
      </x:c>
      <x:c r="H36" s="27" t="str">
        <x:f>XLOOKUP(B36,'Home Feed'!$E$7:$E$235,'Home Feed'!$C$7:$C$235,"")</x:f>
        <x:v>Mix - Daft Punk - Get Lucky (Official Video) feat. Pharrell Williams and Nile Rodgers</x:v>
      </x:c>
      <x:c r="I36" s="96" t="str">
        <x:v>https://www.youtube.com/@convarHUN</x:v>
      </x:c>
    </x:row>
    <x:row r="37" ht="32" customHeight="1">
      <x:c r="A37" s="26" t="n">
        <x:v>31</x:v>
      </x:c>
      <x:c r="B37" t="str">
        <x:v>Nightcrawler Studios</x:v>
      </x:c>
      <x:c r="C37" t="str">
        <x:v>@NightcrawlerGames</x:v>
      </x:c>
      <x:c r="D37" s="26" t="str">
        <x:f>IF(OR(COUNTIF('Current Subscriptions'!$B$7:$B$83,B37)&gt;0,COUNTIF('Current Subscriptions'!$C$7:$C$83,C37)&gt;0),"Yes","No")</x:f>
        <x:v>No</x:v>
      </x:c>
      <x:c r="E37" s="26" t="n">
        <x:f>COUNTIF('Home Feed'!$E$7:$E$235,B37)</x:f>
        <x:v>1</x:v>
      </x:c>
      <x:c r="F37" s="26" t="n">
        <x:f>MINIFS('Home Feed'!$A$7:$A$235,'Home Feed'!$E$7:$E$235,B37)</x:f>
        <x:v>14</x:v>
      </x:c>
      <x:c r="G37" t="str">
        <x:v>Video</x:v>
      </x:c>
      <x:c r="H37" s="27" t="str">
        <x:f>XLOOKUP(B37,'Home Feed'!$E$7:$E$235,'Home Feed'!$C$7:$C$235,"")</x:f>
        <x:v>C++ Game Dev - 3D Modeling and Substance Painter</x:v>
      </x:c>
      <x:c r="I37" s="96" t="str">
        <x:v>https://www.youtube.com/@NightcrawlerGames</x:v>
      </x:c>
    </x:row>
    <x:row r="38" ht="32" customHeight="1">
      <x:c r="A38" s="26" t="n">
        <x:v>32</x:v>
      </x:c>
      <x:c r="B38" t="str">
        <x:v>Pierre's Generative Music</x:v>
      </x:c>
      <x:c r="C38" t="str">
        <x:v>@pierresgenerativemusic</x:v>
      </x:c>
      <x:c r="D38" s="26" t="str">
        <x:f>IF(OR(COUNTIF('Current Subscriptions'!$B$7:$B$83,B38)&gt;0,COUNTIF('Current Subscriptions'!$C$7:$C$83,C38)&gt;0),"Yes","No")</x:f>
        <x:v>No</x:v>
      </x:c>
      <x:c r="E38" s="26" t="n">
        <x:f>COUNTIF('Home Feed'!$E$7:$E$235,B38)</x:f>
        <x:v>1</x:v>
      </x:c>
      <x:c r="F38" s="26" t="n">
        <x:f>MINIFS('Home Feed'!$A$7:$A$235,'Home Feed'!$E$7:$E$235,B38)</x:f>
        <x:v>15</x:v>
      </x:c>
      <x:c r="G38" t="str">
        <x:v>Video</x:v>
      </x:c>
      <x:c r="H38" s="27" t="str">
        <x:f>XLOOKUP(B38,'Home Feed'!$E$7:$E$235,'Home Feed'!$C$7:$C$235,"")</x:f>
        <x:v>3 Hours of Generative Ambient for Deep Focus · Modular Synth &amp; Tape (No AI)</x:v>
      </x:c>
      <x:c r="I38" s="96" t="str">
        <x:v>https://www.youtube.com/@pierresgenerativemusic</x:v>
      </x:c>
    </x:row>
    <x:row r="39" ht="32" customHeight="1">
      <x:c r="A39" s="26" t="n">
        <x:v>33</x:v>
      </x:c>
      <x:c r="B39" t="str">
        <x:v>JetBrains Academy</x:v>
      </x:c>
      <x:c r="C39" t="str">
        <x:v>@JetBrainsAcademy</x:v>
      </x:c>
      <x:c r="D39" s="26" t="str">
        <x:f>IF(OR(COUNTIF('Current Subscriptions'!$B$7:$B$83,B39)&gt;0,COUNTIF('Current Subscriptions'!$C$7:$C$83,C39)&gt;0),"Yes","No")</x:f>
        <x:v>No</x:v>
      </x:c>
      <x:c r="E39" s="26" t="n">
        <x:f>COUNTIF('Home Feed'!$E$7:$E$235,B39)</x:f>
        <x:v>1</x:v>
      </x:c>
      <x:c r="F39" s="26" t="n">
        <x:f>MINIFS('Home Feed'!$A$7:$A$235,'Home Feed'!$E$7:$E$235,B39)</x:f>
        <x:v>16</x:v>
      </x:c>
      <x:c r="G39" t="str">
        <x:v>Video</x:v>
      </x:c>
      <x:c r="H39" s="27" t="str">
        <x:f>XLOOKUP(B39,'Home Feed'!$E$7:$E$235,'Home Feed'!$C$7:$C$235,"")</x:f>
        <x:v>Therapy for the Vibe-Coded Brain</x:v>
      </x:c>
      <x:c r="I39" s="96" t="str">
        <x:v>https://www.youtube.com/@JetBrainsAcademy</x:v>
      </x:c>
    </x:row>
    <x:row r="40" ht="32" customHeight="1">
      <x:c r="A40" s="26" t="n">
        <x:v>34</x:v>
      </x:c>
      <x:c r="B40" t="str">
        <x:v>tony</x:v>
      </x:c>
      <x:c r="C40" t="str">
        <x:v>@tony-btw</x:v>
      </x:c>
      <x:c r="D40" s="26" t="str">
        <x:f>IF(OR(COUNTIF('Current Subscriptions'!$B$7:$B$83,B40)&gt;0,COUNTIF('Current Subscriptions'!$C$7:$C$83,C40)&gt;0),"Yes","No")</x:f>
        <x:v>No</x:v>
      </x:c>
      <x:c r="E40" s="26" t="n">
        <x:f>COUNTIF('Home Feed'!$E$7:$E$235,B40)</x:f>
        <x:v>1</x:v>
      </x:c>
      <x:c r="F40" s="26" t="n">
        <x:f>MINIFS('Home Feed'!$A$7:$A$235,'Home Feed'!$E$7:$E$235,B40)</x:f>
        <x:v>17</x:v>
      </x:c>
      <x:c r="G40" t="str">
        <x:v>Video</x:v>
      </x:c>
      <x:c r="H40" s="27" t="str">
        <x:f>XLOOKUP(B40,'Home Feed'!$E$7:$E$235,'Home Feed'!$C$7:$C$235,"")</x:f>
        <x:v>How to Actually Learn C (2027 Edition)</x:v>
      </x:c>
      <x:c r="I40" s="96" t="str">
        <x:v>https://www.youtube.com/@tony-btw</x:v>
      </x:c>
    </x:row>
    <x:row r="41" ht="32" customHeight="1">
      <x:c r="A41" s="26" t="n">
        <x:v>35</x:v>
      </x:c>
      <x:c r="B41" t="str">
        <x:v>Todd Arnold</x:v>
      </x:c>
      <x:c r="C41" t="str">
        <x:v>@RealSpaceJunk</x:v>
      </x:c>
      <x:c r="D41" s="26" t="str">
        <x:f>IF(OR(COUNTIF('Current Subscriptions'!$B$7:$B$83,B41)&gt;0,COUNTIF('Current Subscriptions'!$C$7:$C$83,C41)&gt;0),"Yes","No")</x:f>
        <x:v>No</x:v>
      </x:c>
      <x:c r="E41" s="26" t="n">
        <x:f>COUNTIF('Home Feed'!$E$7:$E$235,B41)</x:f>
        <x:v>1</x:v>
      </x:c>
      <x:c r="F41" s="26" t="n">
        <x:f>MINIFS('Home Feed'!$A$7:$A$235,'Home Feed'!$E$7:$E$235,B41)</x:f>
        <x:v>18</x:v>
      </x:c>
      <x:c r="G41" t="str">
        <x:v>Short</x:v>
      </x:c>
      <x:c r="H41" s="27" t="str">
        <x:f>XLOOKUP(B41,'Home Feed'!$E$7:$E$235,'Home Feed'!$C$7:$C$235,"")</x:f>
        <x:v>This 1960s Board Proves Engineers Didn’t Trust the First ICs Yet…</x:v>
      </x:c>
      <x:c r="I41" s="96" t="str">
        <x:v>https://www.youtube.com/@RealSpaceJunk</x:v>
      </x:c>
    </x:row>
    <x:row r="42" ht="32" customHeight="1">
      <x:c r="A42" s="26" t="n">
        <x:v>36</x:v>
      </x:c>
      <x:c r="B42" t="str">
        <x:v>Maker3DPrint</x:v>
      </x:c>
      <x:c r="C42" t="str">
        <x:v>@Maker3DPrint</x:v>
      </x:c>
      <x:c r="D42" s="26" t="str">
        <x:f>IF(OR(COUNTIF('Current Subscriptions'!$B$7:$B$83,B42)&gt;0,COUNTIF('Current Subscriptions'!$C$7:$C$83,C42)&gt;0),"Yes","No")</x:f>
        <x:v>No</x:v>
      </x:c>
      <x:c r="E42" s="26" t="n">
        <x:f>COUNTIF('Home Feed'!$E$7:$E$235,B42)</x:f>
        <x:v>1</x:v>
      </x:c>
      <x:c r="F42" s="26" t="n">
        <x:f>MINIFS('Home Feed'!$A$7:$A$235,'Home Feed'!$E$7:$E$235,B42)</x:f>
        <x:v>19</x:v>
      </x:c>
      <x:c r="G42" t="str">
        <x:v>Short</x:v>
      </x:c>
      <x:c r="H42" s="27" t="str">
        <x:f>XLOOKUP(B42,'Home Feed'!$E$7:$E$235,'Home Feed'!$C$7:$C$235,"")</x:f>
        <x:v>🔥 4 Awesome 3D Prints Worth Printing Today!</x:v>
      </x:c>
      <x:c r="I42" s="96" t="str">
        <x:v>https://www.youtube.com/@Maker3DPrint</x:v>
      </x:c>
    </x:row>
    <x:row r="43" ht="32" customHeight="1">
      <x:c r="A43" s="26" t="n">
        <x:v>37</x:v>
      </x:c>
      <x:c r="B43" t="str">
        <x:v>Mychael T Renn</x:v>
      </x:c>
      <x:c r="C43" t="str">
        <x:v>@Renndontcare</x:v>
      </x:c>
      <x:c r="D43" s="26" t="str">
        <x:f>IF(OR(COUNTIF('Current Subscriptions'!$B$7:$B$83,B43)&gt;0,COUNTIF('Current Subscriptions'!$C$7:$C$83,C43)&gt;0),"Yes","No")</x:f>
        <x:v>No</x:v>
      </x:c>
      <x:c r="E43" s="26" t="n">
        <x:f>COUNTIF('Home Feed'!$E$7:$E$235,B43)</x:f>
        <x:v>1</x:v>
      </x:c>
      <x:c r="F43" s="26" t="n">
        <x:f>MINIFS('Home Feed'!$A$7:$A$235,'Home Feed'!$E$7:$E$235,B43)</x:f>
        <x:v>20</x:v>
      </x:c>
      <x:c r="G43" t="str">
        <x:v>Short</x:v>
      </x:c>
      <x:c r="H43" s="27" t="str">
        <x:f>XLOOKUP(B43,'Home Feed'!$E$7:$E$235,'Home Feed'!$C$7:$C$235,"")</x:f>
        <x:v>This is blacksmithing! This is alchemy! This is Boilermaking‼️‼️…</x:v>
      </x:c>
      <x:c r="I43" s="96" t="str">
        <x:v>https://www.youtube.com/@Renndontcare</x:v>
      </x:c>
    </x:row>
    <x:row r="44" ht="32" customHeight="1">
      <x:c r="A44" s="26" t="n">
        <x:v>38</x:v>
      </x:c>
      <x:c r="B44" t="str">
        <x:v>Well Done Tips</x:v>
      </x:c>
      <x:c r="C44" t="str">
        <x:v>@welldonetips</x:v>
      </x:c>
      <x:c r="D44" s="26" t="str">
        <x:f>IF(OR(COUNTIF('Current Subscriptions'!$B$7:$B$83,B44)&gt;0,COUNTIF('Current Subscriptions'!$C$7:$C$83,C44)&gt;0),"Yes","No")</x:f>
        <x:v>No</x:v>
      </x:c>
      <x:c r="E44" s="26" t="n">
        <x:f>COUNTIF('Home Feed'!$E$7:$E$235,B44)</x:f>
        <x:v>1</x:v>
      </x:c>
      <x:c r="F44" s="26" t="n">
        <x:f>MINIFS('Home Feed'!$A$7:$A$235,'Home Feed'!$E$7:$E$235,B44)</x:f>
        <x:v>21</x:v>
      </x:c>
      <x:c r="G44" t="str">
        <x:v>Short</x:v>
      </x:c>
      <x:c r="H44" s="27" t="str">
        <x:f>XLOOKUP(B44,'Home Feed'!$E$7:$E$235,'Home Feed'!$C$7:$C$235,"")</x:f>
        <x:v>Why you should never leave your wires exposed!</x:v>
      </x:c>
      <x:c r="I44" s="96" t="str">
        <x:v>https://www.youtube.com/@welldonetips</x:v>
      </x:c>
    </x:row>
    <x:row r="45" ht="32" customHeight="1">
      <x:c r="A45" s="26" t="n">
        <x:v>39</x:v>
      </x:c>
      <x:c r="B45" t="str">
        <x:v>WyattsSaab</x:v>
      </x:c>
      <x:c r="C45" t="str">
        <x:v>@WyattsSaab</x:v>
      </x:c>
      <x:c r="D45" s="26" t="str">
        <x:f>IF(OR(COUNTIF('Current Subscriptions'!$B$7:$B$83,B45)&gt;0,COUNTIF('Current Subscriptions'!$C$7:$C$83,C45)&gt;0),"Yes","No")</x:f>
        <x:v>No</x:v>
      </x:c>
      <x:c r="E45" s="26" t="n">
        <x:f>COUNTIF('Home Feed'!$E$7:$E$235,B45)</x:f>
        <x:v>1</x:v>
      </x:c>
      <x:c r="F45" s="26" t="n">
        <x:f>MINIFS('Home Feed'!$A$7:$A$235,'Home Feed'!$E$7:$E$235,B45)</x:f>
        <x:v>22</x:v>
      </x:c>
      <x:c r="G45" t="str">
        <x:v>Short</x:v>
      </x:c>
      <x:c r="H45" s="27" t="e">
        <x:f>XLOOKUP(B45,'Home Feed'!$E$7:$E$235,'Home Feed'!$C$7:$C$235,"")</x:f>
        <x:v>#Magnetism #Science #Magnets ￼</x:v>
      </x:c>
      <x:c r="I45" s="96" t="str">
        <x:v>https://www.youtube.com/@WyattsSaab</x:v>
      </x:c>
    </x:row>
    <x:row r="46" ht="32" customHeight="1">
      <x:c r="A46" s="26" t="n">
        <x:v>40</x:v>
      </x:c>
      <x:c r="B46" t="str">
        <x:v>How to ADHD</x:v>
      </x:c>
      <x:c r="C46" t="str">
        <x:v>@HowtoADHD</x:v>
      </x:c>
      <x:c r="D46" s="26" t="str">
        <x:f>IF(OR(COUNTIF('Current Subscriptions'!$B$7:$B$83,B46)&gt;0,COUNTIF('Current Subscriptions'!$C$7:$C$83,C46)&gt;0),"Yes","No")</x:f>
        <x:v>No</x:v>
      </x:c>
      <x:c r="E46" s="26" t="n">
        <x:f>COUNTIF('Home Feed'!$E$7:$E$235,B46)</x:f>
        <x:v>1</x:v>
      </x:c>
      <x:c r="F46" s="26" t="n">
        <x:f>MINIFS('Home Feed'!$A$7:$A$235,'Home Feed'!$E$7:$E$235,B46)</x:f>
        <x:v>23</x:v>
      </x:c>
      <x:c r="G46" t="str">
        <x:v>Video</x:v>
      </x:c>
      <x:c r="H46" s="27" t="str">
        <x:f>XLOOKUP(B46,'Home Feed'!$E$7:$E$235,'Home Feed'!$C$7:$C$235,"")</x:f>
        <x:v>Your ADHD Brain Needs This in the Morning</x:v>
      </x:c>
      <x:c r="I46" s="96" t="str">
        <x:v>https://www.youtube.com/@HowtoADHD</x:v>
      </x:c>
    </x:row>
    <x:row r="47" ht="32" customHeight="1">
      <x:c r="A47" s="26" t="n">
        <x:v>41</x:v>
      </x:c>
      <x:c r="B47" t="str">
        <x:v>Divine Kelcie</x:v>
      </x:c>
      <x:c r="C47" t="str">
        <x:v>@divinekelcie</x:v>
      </x:c>
      <x:c r="D47" s="26" t="str">
        <x:f>IF(OR(COUNTIF('Current Subscriptions'!$B$7:$B$83,B47)&gt;0,COUNTIF('Current Subscriptions'!$C$7:$C$83,C47)&gt;0),"Yes","No")</x:f>
        <x:v>No</x:v>
      </x:c>
      <x:c r="E47" s="26" t="n">
        <x:f>COUNTIF('Home Feed'!$E$7:$E$235,B47)</x:f>
        <x:v>1</x:v>
      </x:c>
      <x:c r="F47" s="26" t="n">
        <x:f>MINIFS('Home Feed'!$A$7:$A$235,'Home Feed'!$E$7:$E$235,B47)</x:f>
        <x:v>26</x:v>
      </x:c>
      <x:c r="G47" t="str">
        <x:v>Video</x:v>
      </x:c>
      <x:c r="H47" s="27" t="str">
        <x:f>XLOOKUP(B47,'Home Feed'!$E$7:$E$235,'Home Feed'!$C$7:$C$235,"")</x:f>
        <x:v>this will find you at the exact minute it needs to ￼</x:v>
      </x:c>
      <x:c r="I47" s="96" t="str">
        <x:v>https://www.youtube.com/@divinekelcie</x:v>
      </x:c>
    </x:row>
    <x:row r="48" ht="32" customHeight="1">
      <x:c r="A48" s="26" t="n">
        <x:v>42</x:v>
      </x:c>
      <x:c r="B48" t="str">
        <x:v>bigboxSWE</x:v>
      </x:c>
      <x:c r="C48" t="str">
        <x:v>@bigboxSWE</x:v>
      </x:c>
      <x:c r="D48" s="26" t="str">
        <x:f>IF(OR(COUNTIF('Current Subscriptions'!$B$7:$B$83,B48)&gt;0,COUNTIF('Current Subscriptions'!$C$7:$C$83,C48)&gt;0),"Yes","No")</x:f>
        <x:v>No</x:v>
      </x:c>
      <x:c r="E48" s="26" t="n">
        <x:f>COUNTIF('Home Feed'!$E$7:$E$235,B48)</x:f>
        <x:v>1</x:v>
      </x:c>
      <x:c r="F48" s="26" t="n">
        <x:f>MINIFS('Home Feed'!$A$7:$A$235,'Home Feed'!$E$7:$E$235,B48)</x:f>
        <x:v>27</x:v>
      </x:c>
      <x:c r="G48" t="str">
        <x:v>Video</x:v>
      </x:c>
      <x:c r="H48" s="27" t="str">
        <x:f>XLOOKUP(B48,'Home Feed'!$E$7:$E$235,'Home Feed'!$C$7:$C$235,"")</x:f>
        <x:v>Coding interviews have become insane</x:v>
      </x:c>
      <x:c r="I48" s="96" t="str">
        <x:v>https://www.youtube.com/@bigboxSWE</x:v>
      </x:c>
    </x:row>
    <x:row r="49" ht="32" customHeight="1">
      <x:c r="A49" s="26" t="n">
        <x:v>43</x:v>
      </x:c>
      <x:c r="B49" t="str">
        <x:v>Excessive Overkill</x:v>
      </x:c>
      <x:c r="C49" t="str">
        <x:v>@ExcessiveOverkill</x:v>
      </x:c>
      <x:c r="D49" s="26" t="str">
        <x:f>IF(OR(COUNTIF('Current Subscriptions'!$B$7:$B$83,B49)&gt;0,COUNTIF('Current Subscriptions'!$C$7:$C$83,C49)&gt;0),"Yes","No")</x:f>
        <x:v>No</x:v>
      </x:c>
      <x:c r="E49" s="26" t="n">
        <x:f>COUNTIF('Home Feed'!$E$7:$E$235,B49)</x:f>
        <x:v>1</x:v>
      </x:c>
      <x:c r="F49" s="26" t="n">
        <x:f>MINIFS('Home Feed'!$A$7:$A$235,'Home Feed'!$E$7:$E$235,B49)</x:f>
        <x:v>28</x:v>
      </x:c>
      <x:c r="G49" t="str">
        <x:v>Video</x:v>
      </x:c>
      <x:c r="H49" s="27" t="str">
        <x:f>XLOOKUP(B49,'Home Feed'!$E$7:$E$235,'Home Feed'!$C$7:$C$235,"")</x:f>
        <x:v>How I Get Industrial Robots for so Cheap</x:v>
      </x:c>
      <x:c r="I49" s="96" t="str">
        <x:v>https://www.youtube.com/@ExcessiveOverkill</x:v>
      </x:c>
    </x:row>
    <x:row r="50" ht="32" customHeight="1">
      <x:c r="A50" s="26" t="n">
        <x:v>44</x:v>
      </x:c>
      <x:c r="B50" t="str">
        <x:v>Leila Hormozi</x:v>
      </x:c>
      <x:c r="C50" t="str">
        <x:v>@leilahormozi</x:v>
      </x:c>
      <x:c r="D50" s="26" t="str">
        <x:f>IF(OR(COUNTIF('Current Subscriptions'!$B$7:$B$83,B50)&gt;0,COUNTIF('Current Subscriptions'!$C$7:$C$83,C50)&gt;0),"Yes","No")</x:f>
        <x:v>No</x:v>
      </x:c>
      <x:c r="E50" s="26" t="n">
        <x:f>COUNTIF('Home Feed'!$E$7:$E$235,B50)</x:f>
        <x:v>1</x:v>
      </x:c>
      <x:c r="F50" s="26" t="n">
        <x:f>MINIFS('Home Feed'!$A$7:$A$235,'Home Feed'!$E$7:$E$235,B50)</x:f>
        <x:v>29</x:v>
      </x:c>
      <x:c r="G50" t="str">
        <x:v>Video</x:v>
      </x:c>
      <x:c r="H50" s="27" t="str">
        <x:f>XLOOKUP(B50,'Home Feed'!$E$7:$E$235,'Home Feed'!$C$7:$C$235,"")</x:f>
        <x:v>The Psychology of Making Money</x:v>
      </x:c>
      <x:c r="I50" s="96" t="str">
        <x:v>https://www.youtube.com/@leilahormozi</x:v>
      </x:c>
    </x:row>
    <x:row r="51" ht="32" customHeight="1">
      <x:c r="A51" s="26" t="n">
        <x:v>45</x:v>
      </x:c>
      <x:c r="B51" t="str">
        <x:v>Wise Quotes</x:v>
      </x:c>
      <x:c r="C51" t="str">
        <x:v>@Wisest-Quotes</x:v>
      </x:c>
      <x:c r="D51" s="26" t="str">
        <x:f>IF(OR(COUNTIF('Current Subscriptions'!$B$7:$B$83,B51)&gt;0,COUNTIF('Current Subscriptions'!$C$7:$C$83,C51)&gt;0),"Yes","No")</x:f>
        <x:v>No</x:v>
      </x:c>
      <x:c r="E51" s="26" t="n">
        <x:f>COUNTIF('Home Feed'!$E$7:$E$235,B51)</x:f>
        <x:v>1</x:v>
      </x:c>
      <x:c r="F51" s="26" t="n">
        <x:f>MINIFS('Home Feed'!$A$7:$A$235,'Home Feed'!$E$7:$E$235,B51)</x:f>
        <x:v>30</x:v>
      </x:c>
      <x:c r="G51" t="str">
        <x:v>Video</x:v>
      </x:c>
      <x:c r="H51" s="27" t="str">
        <x:f>XLOOKUP(B51,'Home Feed'!$E$7:$E$235,'Home Feed'!$C$7:$C$235,"")</x:f>
        <x:v>The Psychology of People Who Believe They Already Have What They Want</x:v>
      </x:c>
      <x:c r="I51" s="96" t="str">
        <x:v>https://www.youtube.com/@Wisest-Quotes</x:v>
      </x:c>
    </x:row>
    <x:row r="52" ht="32" customHeight="1">
      <x:c r="A52" s="26" t="n">
        <x:v>46</x:v>
      </x:c>
      <x:c r="B52" t="str">
        <x:v>Greg's Tech</x:v>
      </x:c>
      <x:c r="C52" t="str">
        <x:v>@gregstech</x:v>
      </x:c>
      <x:c r="D52" s="26" t="str">
        <x:f>IF(OR(COUNTIF('Current Subscriptions'!$B$7:$B$83,B52)&gt;0,COUNTIF('Current Subscriptions'!$C$7:$C$83,C52)&gt;0),"Yes","No")</x:f>
        <x:v>No</x:v>
      </x:c>
      <x:c r="E52" s="26" t="n">
        <x:f>COUNTIF('Home Feed'!$E$7:$E$235,B52)</x:f>
        <x:v>1</x:v>
      </x:c>
      <x:c r="F52" s="26" t="n">
        <x:f>MINIFS('Home Feed'!$A$7:$A$235,'Home Feed'!$E$7:$E$235,B52)</x:f>
        <x:v>35</x:v>
      </x:c>
      <x:c r="G52" t="str">
        <x:v>Video</x:v>
      </x:c>
      <x:c r="H52" s="27" t="str">
        <x:f>XLOOKUP(B52,'Home Feed'!$E$7:$E$235,'Home Feed'!$C$7:$C$235,"")</x:f>
        <x:v>Can this VLA Work with no Dataset? I Put MolmoAct2 to Test</x:v>
      </x:c>
      <x:c r="I52" s="96" t="str">
        <x:v>https://www.youtube.com/@gregstech</x:v>
      </x:c>
    </x:row>
    <x:row r="53" ht="32" customHeight="1">
      <x:c r="A53" s="26" t="n">
        <x:v>47</x:v>
      </x:c>
      <x:c r="B53" t="str">
        <x:v>JulienHimself</x:v>
      </x:c>
      <x:c r="C53" t="str">
        <x:v>@JulienHimself</x:v>
      </x:c>
      <x:c r="D53" s="26" t="str">
        <x:f>IF(OR(COUNTIF('Current Subscriptions'!$B$7:$B$83,B53)&gt;0,COUNTIF('Current Subscriptions'!$C$7:$C$83,C53)&gt;0),"Yes","No")</x:f>
        <x:v>No</x:v>
      </x:c>
      <x:c r="E53" s="26" t="n">
        <x:f>COUNTIF('Home Feed'!$E$7:$E$235,B53)</x:f>
        <x:v>1</x:v>
      </x:c>
      <x:c r="F53" s="26" t="n">
        <x:f>MINIFS('Home Feed'!$A$7:$A$235,'Home Feed'!$E$7:$E$235,B53)</x:f>
        <x:v>36</x:v>
      </x:c>
      <x:c r="G53" t="str">
        <x:v>Video</x:v>
      </x:c>
      <x:c r="H53" s="27" t="str">
        <x:f>XLOOKUP(B53,'Home Feed'!$E$7:$E$235,'Home Feed'!$C$7:$C$235,"")</x:f>
        <x:v>Why Being Confident Feels CRINGE AF</x:v>
      </x:c>
      <x:c r="I53" s="96" t="str">
        <x:v>https://www.youtube.com/@JulienHimself</x:v>
      </x:c>
    </x:row>
    <x:row r="54" ht="32" customHeight="1">
      <x:c r="A54" s="26" t="n">
        <x:v>48</x:v>
      </x:c>
      <x:c r="B54" t="str">
        <x:v>EscPoint</x:v>
      </x:c>
      <x:c r="C54" t="str">
        <x:v>@EscPointDev</x:v>
      </x:c>
      <x:c r="D54" s="26" t="str">
        <x:f>IF(OR(COUNTIF('Current Subscriptions'!$B$7:$B$83,B54)&gt;0,COUNTIF('Current Subscriptions'!$C$7:$C$83,C54)&gt;0),"Yes","No")</x:f>
        <x:v>No</x:v>
      </x:c>
      <x:c r="E54" s="26" t="n">
        <x:f>COUNTIF('Home Feed'!$E$7:$E$235,B54)</x:f>
        <x:v>1</x:v>
      </x:c>
      <x:c r="F54" s="26" t="n">
        <x:f>MINIFS('Home Feed'!$A$7:$A$235,'Home Feed'!$E$7:$E$235,B54)</x:f>
        <x:v>37</x:v>
      </x:c>
      <x:c r="G54" t="str">
        <x:v>Video</x:v>
      </x:c>
      <x:c r="H54" s="27" t="str">
        <x:f>XLOOKUP(B54,'Home Feed'!$E$7:$E$235,'Home Feed'!$C$7:$C$235,"")</x:f>
        <x:v>How to Become an Expert at Programming</x:v>
      </x:c>
      <x:c r="I54" s="96" t="str">
        <x:v>https://www.youtube.com/@EscPointDev</x:v>
      </x:c>
    </x:row>
    <x:row r="55" ht="32" customHeight="1">
      <x:c r="A55" s="26" t="n">
        <x:v>49</x:v>
      </x:c>
      <x:c r="B55" t="str">
        <x:v>Technology Connections</x:v>
      </x:c>
      <x:c r="C55" t="str">
        <x:v>@TechnologyConnections</x:v>
      </x:c>
      <x:c r="D55" s="26" t="str">
        <x:f>IF(OR(COUNTIF('Current Subscriptions'!$B$7:$B$83,B55)&gt;0,COUNTIF('Current Subscriptions'!$C$7:$C$83,C55)&gt;0),"Yes","No")</x:f>
        <x:v>No</x:v>
      </x:c>
      <x:c r="E55" s="26" t="n">
        <x:f>COUNTIF('Home Feed'!$E$7:$E$235,B55)</x:f>
        <x:v>1</x:v>
      </x:c>
      <x:c r="F55" s="26" t="n">
        <x:f>MINIFS('Home Feed'!$A$7:$A$235,'Home Feed'!$E$7:$E$235,B55)</x:f>
        <x:v>38</x:v>
      </x:c>
      <x:c r="G55" t="str">
        <x:v>Video</x:v>
      </x:c>
      <x:c r="H55" s="27" t="str">
        <x:f>XLOOKUP(B55,'Home Feed'!$E$7:$E$235,'Home Feed'!$C$7:$C$235,"")</x:f>
        <x:v>My water heater is cooler than yours</x:v>
      </x:c>
      <x:c r="I55" s="96" t="str">
        <x:v>https://www.youtube.com/@TechnologyConnections</x:v>
      </x:c>
    </x:row>
    <x:row r="56" ht="32" customHeight="1">
      <x:c r="A56" s="26" t="n">
        <x:v>50</x:v>
      </x:c>
      <x:c r="B56" t="str">
        <x:v>Nicky Reardon</x:v>
      </x:c>
      <x:c r="C56" t="str">
        <x:v>@nicky.reardon</x:v>
      </x:c>
      <x:c r="D56" s="26" t="str">
        <x:f>IF(OR(COUNTIF('Current Subscriptions'!$B$7:$B$83,B56)&gt;0,COUNTIF('Current Subscriptions'!$C$7:$C$83,C56)&gt;0),"Yes","No")</x:f>
        <x:v>No</x:v>
      </x:c>
      <x:c r="E56" s="26" t="n">
        <x:f>COUNTIF('Home Feed'!$E$7:$E$235,B56)</x:f>
        <x:v>1</x:v>
      </x:c>
      <x:c r="F56" s="26" t="n">
        <x:f>MINIFS('Home Feed'!$A$7:$A$235,'Home Feed'!$E$7:$E$235,B56)</x:f>
        <x:v>39</x:v>
      </x:c>
      <x:c r="G56" t="str">
        <x:v>Video</x:v>
      </x:c>
      <x:c r="H56" s="27" t="str">
        <x:f>XLOOKUP(B56,'Home Feed'!$E$7:$E$235,'Home Feed'!$C$7:$C$235,"")</x:f>
        <x:v>The Greatest Rebrand in History: Addison Rae</x:v>
      </x:c>
      <x:c r="I56" s="96" t="str">
        <x:v>https://www.youtube.com/@nicky.reardon</x:v>
      </x:c>
    </x:row>
    <x:row r="57" ht="32" customHeight="1">
      <x:c r="A57" s="26" t="n">
        <x:v>51</x:v>
      </x:c>
      <x:c r="B57" t="str">
        <x:v>Philosophy Tube</x:v>
      </x:c>
      <x:c r="C57" t="str">
        <x:v>@PhilosophyTube</x:v>
      </x:c>
      <x:c r="D57" s="26" t="str">
        <x:f>IF(OR(COUNTIF('Current Subscriptions'!$B$7:$B$83,B57)&gt;0,COUNTIF('Current Subscriptions'!$C$7:$C$83,C57)&gt;0),"Yes","No")</x:f>
        <x:v>No</x:v>
      </x:c>
      <x:c r="E57" s="26" t="n">
        <x:f>COUNTIF('Home Feed'!$E$7:$E$235,B57)</x:f>
        <x:v>1</x:v>
      </x:c>
      <x:c r="F57" s="26" t="n">
        <x:f>MINIFS('Home Feed'!$A$7:$A$235,'Home Feed'!$E$7:$E$235,B57)</x:f>
        <x:v>41</x:v>
      </x:c>
      <x:c r="G57" t="str">
        <x:v>Video</x:v>
      </x:c>
      <x:c r="H57" s="27" t="str">
        <x:f>XLOOKUP(B57,'Home Feed'!$E$7:$E$235,'Home Feed'!$C$7:$C$235,"")</x:f>
        <x:v>Having Kids Vs Child Free: What's the Right Choice?</x:v>
      </x:c>
      <x:c r="I57" s="96" t="str">
        <x:v>https://www.youtube.com/@PhilosophyTube</x:v>
      </x:c>
    </x:row>
    <x:row r="58" ht="32" customHeight="1">
      <x:c r="A58" s="26" t="n">
        <x:v>52</x:v>
      </x:c>
      <x:c r="B58" t="str">
        <x:v>Geck</x:v>
      </x:c>
      <x:c r="C58" t="str">
        <x:v>@lyleforever</x:v>
      </x:c>
      <x:c r="D58" s="26" t="str">
        <x:f>IF(OR(COUNTIF('Current Subscriptions'!$B$7:$B$83,B58)&gt;0,COUNTIF('Current Subscriptions'!$C$7:$C$83,C58)&gt;0),"Yes","No")</x:f>
        <x:v>No</x:v>
      </x:c>
      <x:c r="E58" s="26" t="n">
        <x:f>COUNTIF('Home Feed'!$E$7:$E$235,B58)</x:f>
        <x:v>1</x:v>
      </x:c>
      <x:c r="F58" s="26" t="n">
        <x:f>MINIFS('Home Feed'!$A$7:$A$235,'Home Feed'!$E$7:$E$235,B58)</x:f>
        <x:v>42</x:v>
      </x:c>
      <x:c r="G58" t="str">
        <x:v>Video</x:v>
      </x:c>
      <x:c r="H58" s="27" t="str">
        <x:f>XLOOKUP(B58,'Home Feed'!$E$7:$E$235,'Home Feed'!$C$7:$C$235,"")</x:f>
        <x:v>“I’M TERRIFIED OF POPCORN” - Therapy Gecko</x:v>
      </x:c>
      <x:c r="I58" s="96" t="str">
        <x:v>https://www.youtube.com/@lyleforever</x:v>
      </x:c>
    </x:row>
    <x:row r="59" ht="32" customHeight="1">
      <x:c r="A59" s="26" t="n">
        <x:v>53</x:v>
      </x:c>
      <x:c r="B59" t="str">
        <x:v>French with Felix</x:v>
      </x:c>
      <x:c r="C59" t="str">
        <x:v>@frenchwithfelix</x:v>
      </x:c>
      <x:c r="D59" s="26" t="str">
        <x:f>IF(OR(COUNTIF('Current Subscriptions'!$B$7:$B$83,B59)&gt;0,COUNTIF('Current Subscriptions'!$C$7:$C$83,C59)&gt;0),"Yes","No")</x:f>
        <x:v>No</x:v>
      </x:c>
      <x:c r="E59" s="26" t="n">
        <x:f>COUNTIF('Home Feed'!$E$7:$E$235,B59)</x:f>
        <x:v>1</x:v>
      </x:c>
      <x:c r="F59" s="26" t="n">
        <x:f>MINIFS('Home Feed'!$A$7:$A$235,'Home Feed'!$E$7:$E$235,B59)</x:f>
        <x:v>43</x:v>
      </x:c>
      <x:c r="G59" t="str">
        <x:v>Video</x:v>
      </x:c>
      <x:c r="H59" s="27" t="str">
        <x:f>XLOOKUP(B59,'Home Feed'!$E$7:$E$235,'Home Feed'!$C$7:$C$235,"")</x:f>
        <x:v>Learn french with Memes (slow french comprehensible input #89)</x:v>
      </x:c>
      <x:c r="I59" s="96" t="str">
        <x:v>https://www.youtube.com/@frenchwithfelix</x:v>
      </x:c>
    </x:row>
    <x:row r="60" ht="32" customHeight="1">
      <x:c r="A60" s="26" t="n">
        <x:v>54</x:v>
      </x:c>
      <x:c r="B60" t="str">
        <x:v>The Pragmatic Engineer</x:v>
      </x:c>
      <x:c r="C60" t="str">
        <x:v>@pragmaticengineer</x:v>
      </x:c>
      <x:c r="D60" s="26" t="str">
        <x:f>IF(OR(COUNTIF('Current Subscriptions'!$B$7:$B$83,B60)&gt;0,COUNTIF('Current Subscriptions'!$C$7:$C$83,C60)&gt;0),"Yes","No")</x:f>
        <x:v>No</x:v>
      </x:c>
      <x:c r="E60" s="26" t="n">
        <x:f>COUNTIF('Home Feed'!$E$7:$E$235,B60)</x:f>
        <x:v>1</x:v>
      </x:c>
      <x:c r="F60" s="26" t="n">
        <x:f>MINIFS('Home Feed'!$A$7:$A$235,'Home Feed'!$E$7:$E$235,B60)</x:f>
        <x:v>44</x:v>
      </x:c>
      <x:c r="G60" t="str">
        <x:v>Video</x:v>
      </x:c>
      <x:c r="H60" s="27" t="str">
        <x:f>XLOOKUP(B60,'Home Feed'!$E$7:$E$235,'Home Feed'!$C$7:$C$235,"")</x:f>
        <x:v>Mitchell Hashimoto’s new way of writing code</x:v>
      </x:c>
      <x:c r="I60" s="96" t="str">
        <x:v>https://www.youtube.com/@pragmaticengineer</x:v>
      </x:c>
    </x:row>
    <x:row r="61" ht="32" customHeight="1">
      <x:c r="A61" s="26" t="n">
        <x:v>55</x:v>
      </x:c>
      <x:c r="B61" t="str">
        <x:v>Juniper Dev</x:v>
      </x:c>
      <x:c r="C61" t="str">
        <x:v>@JuniperDev</x:v>
      </x:c>
      <x:c r="D61" s="26" t="str">
        <x:f>IF(OR(COUNTIF('Current Subscriptions'!$B$7:$B$83,B61)&gt;0,COUNTIF('Current Subscriptions'!$C$7:$C$83,C61)&gt;0),"Yes","No")</x:f>
        <x:v>No</x:v>
      </x:c>
      <x:c r="E61" s="26" t="n">
        <x:f>COUNTIF('Home Feed'!$E$7:$E$235,B61)</x:f>
        <x:v>1</x:v>
      </x:c>
      <x:c r="F61" s="26" t="n">
        <x:f>MINIFS('Home Feed'!$A$7:$A$235,'Home Feed'!$E$7:$E$235,B61)</x:f>
        <x:v>46</x:v>
      </x:c>
      <x:c r="G61" t="str">
        <x:v>Video</x:v>
      </x:c>
      <x:c r="H61" s="27" t="str">
        <x:f>XLOOKUP(B61,'Home Feed'!$E$7:$E$235,'Home Feed'!$C$7:$C$235,"")</x:f>
        <x:v>The Power of Font In Video Games</x:v>
      </x:c>
      <x:c r="I61" s="96" t="str">
        <x:v>https://www.youtube.com/@JuniperDev</x:v>
      </x:c>
    </x:row>
    <x:row r="62" ht="32" customHeight="1">
      <x:c r="A62" s="26" t="n">
        <x:v>56</x:v>
      </x:c>
      <x:c r="B62" t="str">
        <x:v>Asian Dad Energy</x:v>
      </x:c>
      <x:c r="C62" t="str">
        <x:v>@AsianDadEnergy</x:v>
      </x:c>
      <x:c r="D62" s="26" t="str">
        <x:f>IF(OR(COUNTIF('Current Subscriptions'!$B$7:$B$83,B62)&gt;0,COUNTIF('Current Subscriptions'!$C$7:$C$83,C62)&gt;0),"Yes","No")</x:f>
        <x:v>No</x:v>
      </x:c>
      <x:c r="E62" s="26" t="n">
        <x:f>COUNTIF('Home Feed'!$E$7:$E$235,B62)</x:f>
        <x:v>1</x:v>
      </x:c>
      <x:c r="F62" s="26" t="n">
        <x:f>MINIFS('Home Feed'!$A$7:$A$235,'Home Feed'!$E$7:$E$235,B62)</x:f>
        <x:v>47</x:v>
      </x:c>
      <x:c r="G62" t="str">
        <x:v>Video</x:v>
      </x:c>
      <x:c r="H62" s="27" t="str">
        <x:f>XLOOKUP(B62,'Home Feed'!$E$7:$E$235,'Home Feed'!$C$7:$C$235,"")</x:f>
        <x:v>No Money? Here’s How You Escape the Permanent Underclass</x:v>
      </x:c>
      <x:c r="I62" s="96" t="str">
        <x:v>https://www.youtube.com/@AsianDadEnergy</x:v>
      </x:c>
    </x:row>
    <x:row r="63" ht="32" customHeight="1">
      <x:c r="A63" s="26" t="n">
        <x:v>57</x:v>
      </x:c>
      <x:c r="B63" t="str">
        <x:v>MaderVideosProductions.</x:v>
      </x:c>
      <x:c r="C63" t="str">
        <x:v>@madervideosproductions.2525</x:v>
      </x:c>
      <x:c r="D63" s="26" t="str">
        <x:f>IF(OR(COUNTIF('Current Subscriptions'!$B$7:$B$83,B63)&gt;0,COUNTIF('Current Subscriptions'!$C$7:$C$83,C63)&gt;0),"Yes","No")</x:f>
        <x:v>No</x:v>
      </x:c>
      <x:c r="E63" s="26" t="n">
        <x:f>COUNTIF('Home Feed'!$E$7:$E$235,B63)</x:f>
        <x:v>1</x:v>
      </x:c>
      <x:c r="F63" s="26" t="n">
        <x:f>MINIFS('Home Feed'!$A$7:$A$235,'Home Feed'!$E$7:$E$235,B63)</x:f>
        <x:v>49</x:v>
      </x:c>
      <x:c r="G63" t="str">
        <x:v>Video</x:v>
      </x:c>
      <x:c r="H63" s="27" t="str">
        <x:f>XLOOKUP(B63,'Home Feed'!$E$7:$E$235,'Home Feed'!$C$7:$C$235,"")</x:f>
        <x:v>My life experience having a low average IQ score.</x:v>
      </x:c>
      <x:c r="I63" s="96" t="str">
        <x:v>https://www.youtube.com/@madervideosproductions.2525</x:v>
      </x:c>
    </x:row>
    <x:row r="64" ht="32" customHeight="1">
      <x:c r="A64" s="26" t="n">
        <x:v>58</x:v>
      </x:c>
      <x:c r="B64" t="str">
        <x:v>LIKA</x:v>
      </x:c>
      <x:c r="C64" t="str">
        <x:v>@likainmusic</x:v>
      </x:c>
      <x:c r="D64" s="26" t="str">
        <x:f>IF(OR(COUNTIF('Current Subscriptions'!$B$7:$B$83,B64)&gt;0,COUNTIF('Current Subscriptions'!$C$7:$C$83,C64)&gt;0),"Yes","No")</x:f>
        <x:v>No</x:v>
      </x:c>
      <x:c r="E64" s="26" t="n">
        <x:f>COUNTIF('Home Feed'!$E$7:$E$235,B64)</x:f>
        <x:v>1</x:v>
      </x:c>
      <x:c r="F64" s="26" t="n">
        <x:f>MINIFS('Home Feed'!$A$7:$A$235,'Home Feed'!$E$7:$E$235,B64)</x:f>
        <x:v>50</x:v>
      </x:c>
      <x:c r="G64" t="str">
        <x:v>Video</x:v>
      </x:c>
      <x:c r="H64" s="27" t="str">
        <x:f>XLOOKUP(B64,'Home Feed'!$E$7:$E$235,'Home Feed'!$C$7:$C$235,"")</x:f>
        <x:v>LIKA - Morning living room mix // Coffee, day drinking, summer party // Deep House, Progressive</x:v>
      </x:c>
      <x:c r="I64" s="96" t="str">
        <x:v>https://www.youtube.com/@likainmusic</x:v>
      </x:c>
    </x:row>
    <x:row r="65" ht="32" customHeight="1">
      <x:c r="A65" s="26" t="n">
        <x:v>59</x:v>
      </x:c>
      <x:c r="B65" t="str">
        <x:v>I Am Rey (Mental Health)</x:v>
      </x:c>
      <x:c r="C65" t="str">
        <x:v>@Monkeyy_Buddha</x:v>
      </x:c>
      <x:c r="D65" s="26" t="str">
        <x:f>IF(OR(COUNTIF('Current Subscriptions'!$B$7:$B$83,B65)&gt;0,COUNTIF('Current Subscriptions'!$C$7:$C$83,C65)&gt;0),"Yes","No")</x:f>
        <x:v>No</x:v>
      </x:c>
      <x:c r="E65" s="26" t="n">
        <x:f>COUNTIF('Home Feed'!$E$7:$E$235,B65)</x:f>
        <x:v>1</x:v>
      </x:c>
      <x:c r="F65" s="26" t="n">
        <x:f>MINIFS('Home Feed'!$A$7:$A$235,'Home Feed'!$E$7:$E$235,B65)</x:f>
        <x:v>51</x:v>
      </x:c>
      <x:c r="G65" t="str">
        <x:v>Video</x:v>
      </x:c>
      <x:c r="H65" s="27" t="str">
        <x:f>XLOOKUP(B65,'Home Feed'!$E$7:$E$235,'Home Feed'!$C$7:$C$235,"")</x:f>
        <x:v>Are you actually going crazy, or is it just intrusive thoughts?</x:v>
      </x:c>
      <x:c r="I65" s="96" t="str">
        <x:v>https://www.youtube.com/@Monkeyy_Buddha</x:v>
      </x:c>
    </x:row>
    <x:row r="66" ht="32" customHeight="1">
      <x:c r="A66" s="26" t="n">
        <x:v>60</x:v>
      </x:c>
      <x:c r="B66" t="str">
        <x:v>Poor miners</x:v>
      </x:c>
      <x:c r="C66" t="str">
        <x:v>@PoorMiners321</x:v>
      </x:c>
      <x:c r="D66" s="26" t="str">
        <x:f>IF(OR(COUNTIF('Current Subscriptions'!$B$7:$B$83,B66)&gt;0,COUNTIF('Current Subscriptions'!$C$7:$C$83,C66)&gt;0),"Yes","No")</x:f>
        <x:v>No</x:v>
      </x:c>
      <x:c r="E66" s="26" t="n">
        <x:f>COUNTIF('Home Feed'!$E$7:$E$235,B66)</x:f>
        <x:v>1</x:v>
      </x:c>
      <x:c r="F66" s="26" t="n">
        <x:f>MINIFS('Home Feed'!$A$7:$A$235,'Home Feed'!$E$7:$E$235,B66)</x:f>
        <x:v>52</x:v>
      </x:c>
      <x:c r="G66" t="str">
        <x:v>Video</x:v>
      </x:c>
      <x:c r="H66" s="27" t="str">
        <x:f>XLOOKUP(B66,'Home Feed'!$E$7:$E$235,'Home Feed'!$C$7:$C$235,"")</x:f>
        <x:v>10 TYPES OF TRANSISTOR ASSAY FOR GOLD RECOVERY | ASSAY TRANSISTOR SAMPLE FOR GOLD AT HOME</x:v>
      </x:c>
      <x:c r="I66" s="96" t="str">
        <x:v>https://www.youtube.com/@PoorMiners321</x:v>
      </x:c>
    </x:row>
    <x:row r="67" ht="32" customHeight="1">
      <x:c r="A67" s="26" t="n">
        <x:v>61</x:v>
      </x:c>
      <x:c r="B67" t="str">
        <x:v>Zei</x:v>
      </x:c>
      <x:c r="C67" t="str">
        <x:v>@Zeibytes</x:v>
      </x:c>
      <x:c r="D67" s="26" t="str">
        <x:f>IF(OR(COUNTIF('Current Subscriptions'!$B$7:$B$83,B67)&gt;0,COUNTIF('Current Subscriptions'!$C$7:$C$83,C67)&gt;0),"Yes","No")</x:f>
        <x:v>No</x:v>
      </x:c>
      <x:c r="E67" s="26" t="n">
        <x:f>COUNTIF('Home Feed'!$E$7:$E$235,B67)</x:f>
        <x:v>1</x:v>
      </x:c>
      <x:c r="F67" s="26" t="n">
        <x:f>MINIFS('Home Feed'!$A$7:$A$235,'Home Feed'!$E$7:$E$235,B67)</x:f>
        <x:v>53</x:v>
      </x:c>
      <x:c r="G67" t="str">
        <x:v>Video</x:v>
      </x:c>
      <x:c r="H67" s="27" t="str">
        <x:f>XLOOKUP(B67,'Home Feed'!$E$7:$E$235,'Home Feed'!$C$7:$C$235,"")</x:f>
        <x:v>I Finally Got an Old Thinkpad.. I Get It Now.</x:v>
      </x:c>
      <x:c r="I67" s="96" t="str">
        <x:v>https://www.youtube.com/@Zeibytes</x:v>
      </x:c>
    </x:row>
    <x:row r="68" ht="32" customHeight="1">
      <x:c r="A68" s="26" t="n">
        <x:v>62</x:v>
      </x:c>
      <x:c r="B68" t="str">
        <x:v>ApprenticeDiary</x:v>
      </x:c>
      <x:c r="C68" t="str">
        <x:v>@ApprenticeDiary</x:v>
      </x:c>
      <x:c r="D68" s="26" t="str">
        <x:f>IF(OR(COUNTIF('Current Subscriptions'!$B$7:$B$83,B68)&gt;0,COUNTIF('Current Subscriptions'!$C$7:$C$83,C68)&gt;0),"Yes","No")</x:f>
        <x:v>No</x:v>
      </x:c>
      <x:c r="E68" s="26" t="n">
        <x:f>COUNTIF('Home Feed'!$E$7:$E$235,B68)</x:f>
        <x:v>1</x:v>
      </x:c>
      <x:c r="F68" s="26" t="n">
        <x:f>MINIFS('Home Feed'!$A$7:$A$235,'Home Feed'!$E$7:$E$235,B68)</x:f>
        <x:v>55</x:v>
      </x:c>
      <x:c r="G68" t="str">
        <x:v>Video</x:v>
      </x:c>
      <x:c r="H68" s="27" t="str">
        <x:f>XLOOKUP(B68,'Home Feed'!$E$7:$E$235,'Home Feed'!$C$7:$C$235,"")</x:f>
        <x:v>From B Student to MIT: My Way to Engineering - Welcome to my Home Lab</x:v>
      </x:c>
      <x:c r="I68" s="96" t="str">
        <x:v>https://www.youtube.com/@ApprenticeDiary</x:v>
      </x:c>
    </x:row>
    <x:row r="69" ht="32" customHeight="1">
      <x:c r="A69" s="26" t="n">
        <x:v>63</x:v>
      </x:c>
      <x:c r="B69" t="str">
        <x:v>Anton Petrov</x:v>
      </x:c>
      <x:c r="C69" t="str">
        <x:v>@whatdamath</x:v>
      </x:c>
      <x:c r="D69" s="26" t="str">
        <x:f>IF(OR(COUNTIF('Current Subscriptions'!$B$7:$B$83,B69)&gt;0,COUNTIF('Current Subscriptions'!$C$7:$C$83,C69)&gt;0),"Yes","No")</x:f>
        <x:v>No</x:v>
      </x:c>
      <x:c r="E69" s="26" t="n">
        <x:f>COUNTIF('Home Feed'!$E$7:$E$235,B69)</x:f>
        <x:v>1</x:v>
      </x:c>
      <x:c r="F69" s="26" t="n">
        <x:f>MINIFS('Home Feed'!$A$7:$A$235,'Home Feed'!$E$7:$E$235,B69)</x:f>
        <x:v>57</x:v>
      </x:c>
      <x:c r="G69" t="str">
        <x:v>Video</x:v>
      </x:c>
      <x:c r="H69" s="27" t="str">
        <x:f>XLOOKUP(B69,'Home Feed'!$E$7:$E$235,'Home Feed'!$C$7:$C$235,"")</x:f>
        <x:v>Scientists Find Evidence That Life on Earth Had Two Separate Origins</x:v>
      </x:c>
      <x:c r="I69" s="96" t="str">
        <x:v>https://www.youtube.com/@whatdamath</x:v>
      </x:c>
    </x:row>
    <x:row r="70" ht="32" customHeight="1">
      <x:c r="A70" s="26" t="n">
        <x:v>64</x:v>
      </x:c>
      <x:c r="B70" t="str">
        <x:v>Sabine Hossenfelder</x:v>
      </x:c>
      <x:c r="C70" t="str">
        <x:v>@SabineHossenfelder</x:v>
      </x:c>
      <x:c r="D70" s="26" t="str">
        <x:f>IF(OR(COUNTIF('Current Subscriptions'!$B$7:$B$83,B70)&gt;0,COUNTIF('Current Subscriptions'!$C$7:$C$83,C70)&gt;0),"Yes","No")</x:f>
        <x:v>No</x:v>
      </x:c>
      <x:c r="E70" s="26" t="n">
        <x:f>COUNTIF('Home Feed'!$E$7:$E$235,B70)</x:f>
        <x:v>1</x:v>
      </x:c>
      <x:c r="F70" s="26" t="n">
        <x:f>MINIFS('Home Feed'!$A$7:$A$235,'Home Feed'!$E$7:$E$235,B70)</x:f>
        <x:v>58</x:v>
      </x:c>
      <x:c r="G70" t="str">
        <x:v>Video</x:v>
      </x:c>
      <x:c r="H70" s="27" t="str">
        <x:f>XLOOKUP(B70,'Home Feed'!$E$7:$E$235,'Home Feed'!$C$7:$C$235,"")</x:f>
        <x:v>Quantum Computing Failure Now Obvious</x:v>
      </x:c>
      <x:c r="I70" s="96" t="str">
        <x:v>https://www.youtube.com/@SabineHossenfelder</x:v>
      </x:c>
    </x:row>
    <x:row r="71" ht="32" customHeight="1">
      <x:c r="A71" s="26" t="n">
        <x:v>65</x:v>
      </x:c>
      <x:c r="B71" t="str">
        <x:v>hoff._world</x:v>
      </x:c>
      <x:c r="C71" t="str">
        <x:v>@hoff._world</x:v>
      </x:c>
      <x:c r="D71" s="26" t="str">
        <x:f>IF(OR(COUNTIF('Current Subscriptions'!$B$7:$B$83,B71)&gt;0,COUNTIF('Current Subscriptions'!$C$7:$C$83,C71)&gt;0),"Yes","No")</x:f>
        <x:v>No</x:v>
      </x:c>
      <x:c r="E71" s="26" t="n">
        <x:f>COUNTIF('Home Feed'!$E$7:$E$235,B71)</x:f>
        <x:v>1</x:v>
      </x:c>
      <x:c r="F71" s="26" t="n">
        <x:f>MINIFS('Home Feed'!$A$7:$A$235,'Home Feed'!$E$7:$E$235,B71)</x:f>
        <x:v>59</x:v>
      </x:c>
      <x:c r="G71" t="str">
        <x:v>Video</x:v>
      </x:c>
      <x:c r="H71" s="27" t="str">
        <x:f>XLOOKUP(B71,'Home Feed'!$E$7:$E$235,'Home Feed'!$C$7:$C$235,"")</x:f>
        <x:v>COMPLETE EMBEDDED SYSTEMS Roadmap - What Arduino Won't Teach You</x:v>
      </x:c>
      <x:c r="I71" s="96" t="str">
        <x:v>https://www.youtube.com/@hoff._world</x:v>
      </x:c>
    </x:row>
    <x:row r="72" ht="32" customHeight="1">
      <x:c r="A72" s="26" t="n">
        <x:v>66</x:v>
      </x:c>
      <x:c r="B72" t="str">
        <x:v>Simple Lucas</x:v>
      </x:c>
      <x:c r="C72" t="str">
        <x:v>@simplelucas</x:v>
      </x:c>
      <x:c r="D72" s="26" t="str">
        <x:f>IF(OR(COUNTIF('Current Subscriptions'!$B$7:$B$83,B72)&gt;0,COUNTIF('Current Subscriptions'!$C$7:$C$83,C72)&gt;0),"Yes","No")</x:f>
        <x:v>No</x:v>
      </x:c>
      <x:c r="E72" s="26" t="n">
        <x:f>COUNTIF('Home Feed'!$E$7:$E$235,B72)</x:f>
        <x:v>1</x:v>
      </x:c>
      <x:c r="F72" s="26" t="n">
        <x:f>MINIFS('Home Feed'!$A$7:$A$235,'Home Feed'!$E$7:$E$235,B72)</x:f>
        <x:v>60</x:v>
      </x:c>
      <x:c r="G72" t="str">
        <x:v>Video</x:v>
      </x:c>
      <x:c r="H72" s="27" t="str">
        <x:f>XLOOKUP(B72,'Home Feed'!$E$7:$E$235,'Home Feed'!$C$7:$C$235,"")</x:f>
        <x:v>How to live longer and make it suck less</x:v>
      </x:c>
      <x:c r="I72" s="96" t="str">
        <x:v>https://www.youtube.com/@simplelucas</x:v>
      </x:c>
    </x:row>
    <x:row r="73" ht="32" customHeight="1">
      <x:c r="A73" s="26" t="n">
        <x:v>67</x:v>
      </x:c>
      <x:c r="B73" t="str">
        <x:v>changeofcolours</x:v>
      </x:c>
      <x:c r="C73" t="str">
        <x:v>@changeofcolours</x:v>
      </x:c>
      <x:c r="D73" s="26" t="str">
        <x:f>IF(OR(COUNTIF('Current Subscriptions'!$B$7:$B$83,B73)&gt;0,COUNTIF('Current Subscriptions'!$C$7:$C$83,C73)&gt;0),"Yes","No")</x:f>
        <x:v>No</x:v>
      </x:c>
      <x:c r="E73" s="26" t="n">
        <x:f>COUNTIF('Home Feed'!$E$7:$E$235,B73)</x:f>
        <x:v>1</x:v>
      </x:c>
      <x:c r="F73" s="26" t="n">
        <x:f>MINIFS('Home Feed'!$A$7:$A$235,'Home Feed'!$E$7:$E$235,B73)</x:f>
        <x:v>61</x:v>
      </x:c>
      <x:c r="G73" t="str">
        <x:v>Video</x:v>
      </x:c>
      <x:c r="H73" s="27" t="str">
        <x:f>XLOOKUP(B73,'Home Feed'!$E$7:$E$235,'Home Feed'!$C$7:$C$235,"")</x:f>
        <x:v>Still Waters | Calm Handpan Music for Deep Rest &amp; Inner Peace (2 hours) | Changeofcolours</x:v>
      </x:c>
      <x:c r="I73" s="96" t="str">
        <x:v>https://www.youtube.com/@changeofcolours</x:v>
      </x:c>
    </x:row>
    <x:row r="74" ht="32" customHeight="1">
      <x:c r="A74" s="26" t="n">
        <x:v>68</x:v>
      </x:c>
      <x:c r="B74" t="str">
        <x:v>Veritasium</x:v>
      </x:c>
      <x:c r="C74" t="str">
        <x:v>@veritasium</x:v>
      </x:c>
      <x:c r="D74" s="26" t="str">
        <x:f>IF(OR(COUNTIF('Current Subscriptions'!$B$7:$B$83,B74)&gt;0,COUNTIF('Current Subscriptions'!$C$7:$C$83,C74)&gt;0),"Yes","No")</x:f>
        <x:v>No</x:v>
      </x:c>
      <x:c r="E74" s="26" t="n">
        <x:f>COUNTIF('Home Feed'!$E$7:$E$235,B74)</x:f>
        <x:v>1</x:v>
      </x:c>
      <x:c r="F74" s="26" t="n">
        <x:f>MINIFS('Home Feed'!$A$7:$A$235,'Home Feed'!$E$7:$E$235,B74)</x:f>
        <x:v>62</x:v>
      </x:c>
      <x:c r="G74" t="str">
        <x:v>Video</x:v>
      </x:c>
      <x:c r="H74" s="27" t="str">
        <x:f>XLOOKUP(B74,'Home Feed'!$E$7:$E$235,'Home Feed'!$C$7:$C$235,"")</x:f>
        <x:v>You've (Likely) Been Playing The Game Of Life Wrong</x:v>
      </x:c>
      <x:c r="I74" s="96" t="str">
        <x:v>https://www.youtube.com/@veritasium</x:v>
      </x:c>
    </x:row>
    <x:row r="75" ht="32" customHeight="1">
      <x:c r="A75" s="26" t="n">
        <x:v>69</x:v>
      </x:c>
      <x:c r="B75" t="str">
        <x:v>B_Serious</x:v>
      </x:c>
      <x:c r="C75" t="str">
        <x:v>@B_Serious_YT</x:v>
      </x:c>
      <x:c r="D75" s="26" t="str">
        <x:f>IF(OR(COUNTIF('Current Subscriptions'!$B$7:$B$83,B75)&gt;0,COUNTIF('Current Subscriptions'!$C$7:$C$83,C75)&gt;0),"Yes","No")</x:f>
        <x:v>No</x:v>
      </x:c>
      <x:c r="E75" s="26" t="n">
        <x:f>COUNTIF('Home Feed'!$E$7:$E$235,B75)</x:f>
        <x:v>1</x:v>
      </x:c>
      <x:c r="F75" s="26" t="n">
        <x:f>MINIFS('Home Feed'!$A$7:$A$235,'Home Feed'!$E$7:$E$235,B75)</x:f>
        <x:v>63</x:v>
      </x:c>
      <x:c r="G75" t="str">
        <x:v>Video</x:v>
      </x:c>
      <x:c r="H75" s="27" t="str">
        <x:f>XLOOKUP(B75,'Home Feed'!$E$7:$E$235,'Home Feed'!$C$7:$C$235,"")</x:f>
        <x:v>Building an Electric Toyota Pickup Truck in 12 Minutes | Full DIY Build</x:v>
      </x:c>
      <x:c r="I75" s="96" t="str">
        <x:v>https://www.youtube.com/@B_Serious_YT</x:v>
      </x:c>
    </x:row>
    <x:row r="76" ht="32" customHeight="1">
      <x:c r="A76" s="26" t="n">
        <x:v>70</x:v>
      </x:c>
      <x:c r="B76" t="str">
        <x:v>Nehal channeling</x:v>
      </x:c>
      <x:c r="C76" t="str">
        <x:v>@Nehalchanneling</x:v>
      </x:c>
      <x:c r="D76" s="26" t="str">
        <x:f>IF(OR(COUNTIF('Current Subscriptions'!$B$7:$B$83,B76)&gt;0,COUNTIF('Current Subscriptions'!$C$7:$C$83,C76)&gt;0),"Yes","No")</x:f>
        <x:v>No</x:v>
      </x:c>
      <x:c r="E76" s="26" t="n">
        <x:f>COUNTIF('Home Feed'!$E$7:$E$235,B76)</x:f>
        <x:v>1</x:v>
      </x:c>
      <x:c r="F76" s="26" t="n">
        <x:f>MINIFS('Home Feed'!$A$7:$A$235,'Home Feed'!$E$7:$E$235,B76)</x:f>
        <x:v>64</x:v>
      </x:c>
      <x:c r="G76" t="str">
        <x:v>Video</x:v>
      </x:c>
      <x:c r="H76" s="27" t="str">
        <x:f>XLOOKUP(B76,'Home Feed'!$E$7:$E$235,'Home Feed'!$C$7:$C$235,"")</x:f>
        <x:v>gossip in the spirit realm about you</x:v>
      </x:c>
      <x:c r="I76" s="96" t="str">
        <x:v>https://www.youtube.com/@Nehalchanneling</x:v>
      </x:c>
    </x:row>
    <x:row r="77" ht="32" customHeight="1">
      <x:c r="A77" s="26" t="n">
        <x:v>71</x:v>
      </x:c>
      <x:c r="B77" t="str">
        <x:v>Corinna Languages</x:v>
      </x:c>
      <x:c r="C77" t="str">
        <x:v>@CorinnaLanguages</x:v>
      </x:c>
      <x:c r="D77" s="26" t="str">
        <x:f>IF(OR(COUNTIF('Current Subscriptions'!$B$7:$B$83,B77)&gt;0,COUNTIF('Current Subscriptions'!$C$7:$C$83,C77)&gt;0),"Yes","No")</x:f>
        <x:v>No</x:v>
      </x:c>
      <x:c r="E77" s="26" t="n">
        <x:f>COUNTIF('Home Feed'!$E$7:$E$235,B77)</x:f>
        <x:v>1</x:v>
      </x:c>
      <x:c r="F77" s="26" t="n">
        <x:f>MINIFS('Home Feed'!$A$7:$A$235,'Home Feed'!$E$7:$E$235,B77)</x:f>
        <x:v>65</x:v>
      </x:c>
      <x:c r="G77" t="str">
        <x:v>Video</x:v>
      </x:c>
      <x:c r="H77" s="27" t="str">
        <x:f>XLOOKUP(B77,'Home Feed'!$E$7:$E$235,'Home Feed'!$C$7:$C$235,"")</x:f>
        <x:v>I Did This Every Day To Learn French</x:v>
      </x:c>
      <x:c r="I77" s="96" t="str">
        <x:v>https://www.youtube.com/@CorinnaLanguages</x:v>
      </x:c>
    </x:row>
    <x:row r="78" ht="32" customHeight="1">
      <x:c r="A78" s="26" t="n">
        <x:v>72</x:v>
      </x:c>
      <x:c r="B78" t="str">
        <x:v>Red Hot Chili Peppers Argentina</x:v>
      </x:c>
      <x:c r="C78" t="str">
        <x:v>@RedHotChiliPeppersArgentina</x:v>
      </x:c>
      <x:c r="D78" s="26" t="str">
        <x:f>IF(OR(COUNTIF('Current Subscriptions'!$B$7:$B$83,B78)&gt;0,COUNTIF('Current Subscriptions'!$C$7:$C$83,C78)&gt;0),"Yes","No")</x:f>
        <x:v>No</x:v>
      </x:c>
      <x:c r="E78" s="26" t="n">
        <x:f>COUNTIF('Home Feed'!$E$7:$E$235,B78)</x:f>
        <x:v>1</x:v>
      </x:c>
      <x:c r="F78" s="26" t="n">
        <x:f>MINIFS('Home Feed'!$A$7:$A$235,'Home Feed'!$E$7:$E$235,B78)</x:f>
        <x:v>66</x:v>
      </x:c>
      <x:c r="G78" t="str">
        <x:v>Video</x:v>
      </x:c>
      <x:c r="H78" s="27" t="str">
        <x:f>XLOOKUP(B78,'Home Feed'!$E$7:$E$235,'Home Feed'!$C$7:$C$235,"")</x:f>
        <x:v>Red Hot Chili Peppers - Argentina 2023 (CORRECT AUDIO) (FULL SHOW HD) | River Plate Stadium</x:v>
      </x:c>
      <x:c r="I78" s="96" t="str">
        <x:v>https://www.youtube.com/@RedHotChiliPeppersArgentina</x:v>
      </x:c>
    </x:row>
    <x:row r="79" ht="32" customHeight="1">
      <x:c r="A79" s="26" t="n">
        <x:v>73</x:v>
      </x:c>
      <x:c r="B79" t="str">
        <x:v>Nothing</x:v>
      </x:c>
      <x:c r="C79" t="str">
        <x:v>@NothingTechnology</x:v>
      </x:c>
      <x:c r="D79" s="26" t="str">
        <x:f>IF(OR(COUNTIF('Current Subscriptions'!$B$7:$B$83,B79)&gt;0,COUNTIF('Current Subscriptions'!$C$7:$C$83,C79)&gt;0),"Yes","No")</x:f>
        <x:v>No</x:v>
      </x:c>
      <x:c r="E79" s="26" t="n">
        <x:f>COUNTIF('Home Feed'!$E$7:$E$235,B79)</x:f>
        <x:v>1</x:v>
      </x:c>
      <x:c r="F79" s="26" t="n">
        <x:f>MINIFS('Home Feed'!$A$7:$A$235,'Home Feed'!$E$7:$E$235,B79)</x:f>
        <x:v>69</x:v>
      </x:c>
      <x:c r="G79" t="str">
        <x:v>Video</x:v>
      </x:c>
      <x:c r="H79" s="27" t="str">
        <x:f>XLOOKUP(B79,'Home Feed'!$E$7:$E$235,'Home Feed'!$C$7:$C$235,"")</x:f>
        <x:v>The Next Chapter: Nothing OS 5.0</x:v>
      </x:c>
      <x:c r="I79" s="96" t="str">
        <x:v>https://www.youtube.com/@NothingTechnology</x:v>
      </x:c>
    </x:row>
    <x:row r="80" ht="32" customHeight="1">
      <x:c r="A80" s="26" t="n">
        <x:v>74</x:v>
      </x:c>
      <x:c r="B80" t="str">
        <x:v>SLICE Peuples</x:v>
      </x:c>
      <x:c r="C80" t="str">
        <x:v>@SLICE_Peuples</x:v>
      </x:c>
      <x:c r="D80" s="26" t="str">
        <x:f>IF(OR(COUNTIF('Current Subscriptions'!$B$7:$B$83,B80)&gt;0,COUNTIF('Current Subscriptions'!$C$7:$C$83,C80)&gt;0),"Yes","No")</x:f>
        <x:v>No</x:v>
      </x:c>
      <x:c r="E80" s="26" t="n">
        <x:f>COUNTIF('Home Feed'!$E$7:$E$235,B80)</x:f>
        <x:v>1</x:v>
      </x:c>
      <x:c r="F80" s="26" t="n">
        <x:f>MINIFS('Home Feed'!$A$7:$A$235,'Home Feed'!$E$7:$E$235,B80)</x:f>
        <x:v>70</x:v>
      </x:c>
      <x:c r="G80" t="str">
        <x:v>Video</x:v>
      </x:c>
      <x:c r="H80" s="27" t="str">
        <x:f>XLOOKUP(B80,'Home Feed'!$E$7:$E$235,'Home Feed'!$C$7:$C$235,"")</x:f>
        <x:v>Vivre sans supermarché ni patron : le pari de l’autonomie | SLICE PEUPLES</x:v>
      </x:c>
      <x:c r="I80" s="96" t="str">
        <x:v>https://www.youtube.com/@SLICE_Peuples</x:v>
      </x:c>
    </x:row>
    <x:row r="81" ht="32" customHeight="1">
      <x:c r="A81" s="26" t="n">
        <x:v>75</x:v>
      </x:c>
      <x:c r="B81" t="str">
        <x:v>Hussein</x:v>
      </x:c>
      <x:c r="C81" t="str">
        <x:v>@hnasr3</x:v>
      </x:c>
      <x:c r="D81" s="26" t="str">
        <x:f>IF(OR(COUNTIF('Current Subscriptions'!$B$7:$B$83,B81)&gt;0,COUNTIF('Current Subscriptions'!$C$7:$C$83,C81)&gt;0),"Yes","No")</x:f>
        <x:v>No</x:v>
      </x:c>
      <x:c r="E81" s="26" t="n">
        <x:f>COUNTIF('Home Feed'!$E$7:$E$235,B81)</x:f>
        <x:v>1</x:v>
      </x:c>
      <x:c r="F81" s="26" t="n">
        <x:f>MINIFS('Home Feed'!$A$7:$A$235,'Home Feed'!$E$7:$E$235,B81)</x:f>
        <x:v>71</x:v>
      </x:c>
      <x:c r="G81" t="str">
        <x:v>Video</x:v>
      </x:c>
      <x:c r="H81" s="27" t="str">
        <x:f>XLOOKUP(B81,'Home Feed'!$E$7:$E$235,'Home Feed'!$C$7:$C$235,"")</x:f>
        <x:v>grow without new tech</x:v>
      </x:c>
      <x:c r="I81" s="96" t="str">
        <x:v>https://www.youtube.com/@hnasr3</x:v>
      </x:c>
    </x:row>
    <x:row r="82" ht="32" customHeight="1">
      <x:c r="A82" s="26" t="n">
        <x:v>76</x:v>
      </x:c>
      <x:c r="B82" t="str">
        <x:v>Lex Fridman</x:v>
      </x:c>
      <x:c r="C82" t="str">
        <x:v>@lexfridman</x:v>
      </x:c>
      <x:c r="D82" s="26" t="str">
        <x:f>IF(OR(COUNTIF('Current Subscriptions'!$B$7:$B$83,B82)&gt;0,COUNTIF('Current Subscriptions'!$C$7:$C$83,C82)&gt;0),"Yes","No")</x:f>
        <x:v>No</x:v>
      </x:c>
      <x:c r="E82" s="26" t="n">
        <x:f>COUNTIF('Home Feed'!$E$7:$E$235,B82)</x:f>
        <x:v>1</x:v>
      </x:c>
      <x:c r="F82" s="26" t="n">
        <x:f>MINIFS('Home Feed'!$A$7:$A$235,'Home Feed'!$E$7:$E$235,B82)</x:f>
        <x:v>72</x:v>
      </x:c>
      <x:c r="G82" t="str">
        <x:v>Video</x:v>
      </x:c>
      <x:c r="H82" s="27" t="str">
        <x:f>XLOOKUP(B82,'Home Feed'!$E$7:$E$235,'Home Feed'!$C$7:$C$235,"")</x:f>
        <x:v>Khabib Nurmagomedov: Dagestan, MMA, UFC, Islam, Conor, Fedor &amp; Football | Lex Fridman Podcast #500</x:v>
      </x:c>
      <x:c r="I82" s="96" t="str">
        <x:v>https://www.youtube.com/@lexfridman</x:v>
      </x:c>
    </x:row>
    <x:row r="83" ht="32" customHeight="1">
      <x:c r="A83" s="26" t="n">
        <x:v>77</x:v>
      </x:c>
      <x:c r="B83" t="str">
        <x:v>Light Resonance</x:v>
      </x:c>
      <x:c r="C83" t="str">
        <x:v>@LightResonance</x:v>
      </x:c>
      <x:c r="D83" s="26" t="str">
        <x:f>IF(OR(COUNTIF('Current Subscriptions'!$B$7:$B$83,B83)&gt;0,COUNTIF('Current Subscriptions'!$C$7:$C$83,C83)&gt;0),"Yes","No")</x:f>
        <x:v>No</x:v>
      </x:c>
      <x:c r="E83" s="26" t="n">
        <x:f>COUNTIF('Home Feed'!$E$7:$E$235,B83)</x:f>
        <x:v>1</x:v>
      </x:c>
      <x:c r="F83" s="26" t="n">
        <x:f>MINIFS('Home Feed'!$A$7:$A$235,'Home Feed'!$E$7:$E$235,B83)</x:f>
        <x:v>73</x:v>
      </x:c>
      <x:c r="G83" t="str">
        <x:v>Video</x:v>
      </x:c>
      <x:c r="H83" s="27" t="str">
        <x:f>XLOOKUP(B83,'Home Feed'!$E$7:$E$235,'Home Feed'!$C$7:$C$235,"")</x:f>
        <x:v>Nothing Feels Stable Because You’re Entering a New Timeline</x:v>
      </x:c>
      <x:c r="I83" s="96" t="str">
        <x:v>https://www.youtube.com/@LightResonance</x:v>
      </x:c>
    </x:row>
    <x:row r="84" ht="32" customHeight="1">
      <x:c r="A84" s="26" t="n">
        <x:v>78</x:v>
      </x:c>
      <x:c r="B84" t="str">
        <x:v>Heidi Priebe</x:v>
      </x:c>
      <x:c r="C84" t="str">
        <x:v>@heidipriebe1</x:v>
      </x:c>
      <x:c r="D84" s="26" t="str">
        <x:f>IF(OR(COUNTIF('Current Subscriptions'!$B$7:$B$83,B84)&gt;0,COUNTIF('Current Subscriptions'!$C$7:$C$83,C84)&gt;0),"Yes","No")</x:f>
        <x:v>No</x:v>
      </x:c>
      <x:c r="E84" s="26" t="n">
        <x:f>COUNTIF('Home Feed'!$E$7:$E$235,B84)</x:f>
        <x:v>1</x:v>
      </x:c>
      <x:c r="F84" s="26" t="n">
        <x:f>MINIFS('Home Feed'!$A$7:$A$235,'Home Feed'!$E$7:$E$235,B84)</x:f>
        <x:v>74</x:v>
      </x:c>
      <x:c r="G84" t="str">
        <x:v>Video</x:v>
      </x:c>
      <x:c r="H84" s="27" t="str">
        <x:f>XLOOKUP(B84,'Home Feed'!$E$7:$E$235,'Home Feed'!$C$7:$C$235,"")</x:f>
        <x:v>How Good-Faith Relationships Become Toxic (And How They Change)</x:v>
      </x:c>
      <x:c r="I84" s="96" t="str">
        <x:v>https://www.youtube.com/@heidipriebe1</x:v>
      </x:c>
    </x:row>
    <x:row r="85" ht="32" customHeight="1">
      <x:c r="A85" s="26" t="n">
        <x:v>79</x:v>
      </x:c>
      <x:c r="B85" t="str">
        <x:v>What’s The Next Level</x:v>
      </x:c>
      <x:c r="C85" t="str">
        <x:v>@WutNexLev</x:v>
      </x:c>
      <x:c r="D85" s="26" t="str">
        <x:f>IF(OR(COUNTIF('Current Subscriptions'!$B$7:$B$83,B85)&gt;0,COUNTIF('Current Subscriptions'!$C$7:$C$83,C85)&gt;0),"Yes","No")</x:f>
        <x:v>No</x:v>
      </x:c>
      <x:c r="E85" s="26" t="n">
        <x:f>COUNTIF('Home Feed'!$E$7:$E$235,B85)</x:f>
        <x:v>1</x:v>
      </x:c>
      <x:c r="F85" s="26" t="n">
        <x:f>MINIFS('Home Feed'!$A$7:$A$235,'Home Feed'!$E$7:$E$235,B85)</x:f>
        <x:v>75</x:v>
      </x:c>
      <x:c r="G85" t="str">
        <x:v>Video</x:v>
      </x:c>
      <x:c r="H85" s="27" t="str">
        <x:f>XLOOKUP(B85,'Home Feed'!$E$7:$E$235,'Home Feed'!$C$7:$C$235,"")</x:f>
        <x:v>8 Tiny Japanese Habits That Make a Massive Difference</x:v>
      </x:c>
      <x:c r="I85" s="96" t="str">
        <x:v>https://www.youtube.com/@WutNexLev</x:v>
      </x:c>
    </x:row>
    <x:row r="86" ht="32" customHeight="1">
      <x:c r="A86" s="26" t="n">
        <x:v>80</x:v>
      </x:c>
      <x:c r="B86" t="str">
        <x:v>Tech Ingredients</x:v>
      </x:c>
      <x:c r="C86" t="str">
        <x:v>@TechIngredients</x:v>
      </x:c>
      <x:c r="D86" s="26" t="str">
        <x:f>IF(OR(COUNTIF('Current Subscriptions'!$B$7:$B$83,B86)&gt;0,COUNTIF('Current Subscriptions'!$C$7:$C$83,C86)&gt;0),"Yes","No")</x:f>
        <x:v>No</x:v>
      </x:c>
      <x:c r="E86" s="26" t="n">
        <x:f>COUNTIF('Home Feed'!$E$7:$E$235,B86)</x:f>
        <x:v>1</x:v>
      </x:c>
      <x:c r="F86" s="26" t="n">
        <x:f>MINIFS('Home Feed'!$A$7:$A$235,'Home Feed'!$E$7:$E$235,B86)</x:f>
        <x:v>76</x:v>
      </x:c>
      <x:c r="G86" t="str">
        <x:v>Video</x:v>
      </x:c>
      <x:c r="H86" s="27" t="str">
        <x:f>XLOOKUP(B86,'Home Feed'!$E$7:$E$235,'Home Feed'!$C$7:$C$235,"")</x:f>
        <x:v>Turning a $150 AC Into a Super-Efficient Geothermal Unit!</x:v>
      </x:c>
      <x:c r="I86" s="96" t="str">
        <x:v>https://www.youtube.com/@TechIngredients</x:v>
      </x:c>
    </x:row>
    <x:row r="87" ht="32" customHeight="1">
      <x:c r="A87" s="26" t="n">
        <x:v>81</x:v>
      </x:c>
      <x:c r="B87" t="str">
        <x:v>Jubilee</x:v>
      </x:c>
      <x:c r="C87" t="str">
        <x:v>@jubilee</x:v>
      </x:c>
      <x:c r="D87" s="26" t="str">
        <x:f>IF(OR(COUNTIF('Current Subscriptions'!$B$7:$B$83,B87)&gt;0,COUNTIF('Current Subscriptions'!$C$7:$C$83,C87)&gt;0),"Yes","No")</x:f>
        <x:v>No</x:v>
      </x:c>
      <x:c r="E87" s="26" t="n">
        <x:f>COUNTIF('Home Feed'!$E$7:$E$235,B87)</x:f>
        <x:v>1</x:v>
      </x:c>
      <x:c r="F87" s="26" t="n">
        <x:f>MINIFS('Home Feed'!$A$7:$A$235,'Home Feed'!$E$7:$E$235,B87)</x:f>
        <x:v>78</x:v>
      </x:c>
      <x:c r="G87" t="str">
        <x:v>Video</x:v>
      </x:c>
      <x:c r="H87" s="27" t="str">
        <x:f>XLOOKUP(B87,'Home Feed'!$E$7:$E$235,'Home Feed'!$C$7:$C$235,"")</x:f>
        <x:v>Dr. Mike vs 20 RFK Jr. Supporters | Surrounded</x:v>
      </x:c>
      <x:c r="I87" s="96" t="str">
        <x:v>https://www.youtube.com/@jubilee</x:v>
      </x:c>
    </x:row>
    <x:row r="88" ht="32" customHeight="1">
      <x:c r="A88" s="26" t="n">
        <x:v>82</x:v>
      </x:c>
      <x:c r="B88" t="str">
        <x:v>Joey Does Tech</x:v>
      </x:c>
      <x:c r="C88" t="str">
        <x:v>@JoeyDoesTech</x:v>
      </x:c>
      <x:c r="D88" s="26" t="str">
        <x:f>IF(OR(COUNTIF('Current Subscriptions'!$B$7:$B$83,B88)&gt;0,COUNTIF('Current Subscriptions'!$C$7:$C$83,C88)&gt;0),"Yes","No")</x:f>
        <x:v>No</x:v>
      </x:c>
      <x:c r="E88" s="26" t="n">
        <x:f>COUNTIF('Home Feed'!$E$7:$E$235,B88)</x:f>
        <x:v>1</x:v>
      </x:c>
      <x:c r="F88" s="26" t="n">
        <x:f>MINIFS('Home Feed'!$A$7:$A$235,'Home Feed'!$E$7:$E$235,B88)</x:f>
        <x:v>79</x:v>
      </x:c>
      <x:c r="G88" t="str">
        <x:v>Video</x:v>
      </x:c>
      <x:c r="H88" s="27" t="str">
        <x:f>XLOOKUP(B88,'Home Feed'!$E$7:$E$235,'Home Feed'!$C$7:$C$235,"")</x:f>
        <x:v>Buying CHEAP eBay Electronics to Fix and Make Profit! S1:E61</x:v>
      </x:c>
      <x:c r="I88" s="96" t="str">
        <x:v>https://www.youtube.com/@JoeyDoesTech</x:v>
      </x:c>
    </x:row>
    <x:row r="89" ht="32" customHeight="1">
      <x:c r="A89" s="26" t="n">
        <x:v>83</x:v>
      </x:c>
      <x:c r="B89" t="str">
        <x:v>Ryan Robinson</x:v>
      </x:c>
      <x:c r="C89" t="str">
        <x:v>@robinson_ryan</x:v>
      </x:c>
      <x:c r="D89" s="26" t="str">
        <x:f>IF(OR(COUNTIF('Current Subscriptions'!$B$7:$B$83,B89)&gt;0,COUNTIF('Current Subscriptions'!$C$7:$C$83,C89)&gt;0),"Yes","No")</x:f>
        <x:v>No</x:v>
      </x:c>
      <x:c r="E89" s="26" t="n">
        <x:f>COUNTIF('Home Feed'!$E$7:$E$235,B89)</x:f>
        <x:v>1</x:v>
      </x:c>
      <x:c r="F89" s="26" t="n">
        <x:f>MINIFS('Home Feed'!$A$7:$A$235,'Home Feed'!$E$7:$E$235,B89)</x:f>
        <x:v>80</x:v>
      </x:c>
      <x:c r="G89" t="str">
        <x:v>Video</x:v>
      </x:c>
      <x:c r="H89" s="27" t="str">
        <x:f>XLOOKUP(B89,'Home Feed'!$E$7:$E$235,'Home Feed'!$C$7:$C$235,"")</x:f>
        <x:v>being “positive” is pretty much the only option</x:v>
      </x:c>
      <x:c r="I89" s="96" t="str">
        <x:v>https://www.youtube.com/@robinson_ryan</x:v>
      </x:c>
    </x:row>
    <x:row r="90" ht="32" customHeight="1">
      <x:c r="A90" s="26" t="n">
        <x:v>84</x:v>
      </x:c>
      <x:c r="B90" t="str">
        <x:v>Morley Kert</x:v>
      </x:c>
      <x:c r="C90" t="str">
        <x:v>@MorleyKert</x:v>
      </x:c>
      <x:c r="D90" s="26" t="str">
        <x:f>IF(OR(COUNTIF('Current Subscriptions'!$B$7:$B$83,B90)&gt;0,COUNTIF('Current Subscriptions'!$C$7:$C$83,C90)&gt;0),"Yes","No")</x:f>
        <x:v>No</x:v>
      </x:c>
      <x:c r="E90" s="26" t="n">
        <x:f>COUNTIF('Home Feed'!$E$7:$E$235,B90)</x:f>
        <x:v>1</x:v>
      </x:c>
      <x:c r="F90" s="26" t="n">
        <x:f>MINIFS('Home Feed'!$A$7:$A$235,'Home Feed'!$E$7:$E$235,B90)</x:f>
        <x:v>82</x:v>
      </x:c>
      <x:c r="G90" t="str">
        <x:v>Video</x:v>
      </x:c>
      <x:c r="H90" s="27" t="str">
        <x:f>XLOOKUP(B90,'Home Feed'!$E$7:$E$235,'Home Feed'!$C$7:$C$235,"")</x:f>
        <x:v>I Hate Modern Desks... So I Built This.</x:v>
      </x:c>
      <x:c r="I90" s="96" t="str">
        <x:v>https://www.youtube.com/@MorleyKert</x:v>
      </x:c>
    </x:row>
    <x:row r="91" ht="32" customHeight="1">
      <x:c r="A91" s="26" t="n">
        <x:v>85</x:v>
      </x:c>
      <x:c r="B91" t="str">
        <x:v>Mo Bitar</x:v>
      </x:c>
      <x:c r="C91" t="str">
        <x:v>@atmoio</x:v>
      </x:c>
      <x:c r="D91" s="26" t="str">
        <x:f>IF(OR(COUNTIF('Current Subscriptions'!$B$7:$B$83,B91)&gt;0,COUNTIF('Current Subscriptions'!$C$7:$C$83,C91)&gt;0),"Yes","No")</x:f>
        <x:v>No</x:v>
      </x:c>
      <x:c r="E91" s="26" t="n">
        <x:f>COUNTIF('Home Feed'!$E$7:$E$235,B91)</x:f>
        <x:v>1</x:v>
      </x:c>
      <x:c r="F91" s="26" t="n">
        <x:f>MINIFS('Home Feed'!$A$7:$A$235,'Home Feed'!$E$7:$E$235,B91)</x:f>
        <x:v>83</x:v>
      </x:c>
      <x:c r="G91" t="str">
        <x:v>Video</x:v>
      </x:c>
      <x:c r="H91" s="27" t="str">
        <x:f>XLOOKUP(B91,'Home Feed'!$E$7:$E$235,'Home Feed'!$C$7:$C$235,"")</x:f>
        <x:v>A jury just found out what AI is actually for</x:v>
      </x:c>
      <x:c r="I91" s="96" t="str">
        <x:v>https://www.youtube.com/@atmoio</x:v>
      </x:c>
    </x:row>
    <x:row r="92" ht="32" customHeight="1">
      <x:c r="A92" s="26" t="n">
        <x:v>86</x:v>
      </x:c>
      <x:c r="B92" t="str">
        <x:v>Ben Eater</x:v>
      </x:c>
      <x:c r="C92" t="str">
        <x:v>@BenEater</x:v>
      </x:c>
      <x:c r="D92" s="26" t="str">
        <x:f>IF(OR(COUNTIF('Current Subscriptions'!$B$7:$B$83,B92)&gt;0,COUNTIF('Current Subscriptions'!$C$7:$C$83,C92)&gt;0),"Yes","No")</x:f>
        <x:v>No</x:v>
      </x:c>
      <x:c r="E92" s="26" t="n">
        <x:f>COUNTIF('Home Feed'!$E$7:$E$235,B92)</x:f>
        <x:v>1</x:v>
      </x:c>
      <x:c r="F92" s="26" t="n">
        <x:f>MINIFS('Home Feed'!$A$7:$A$235,'Home Feed'!$E$7:$E$235,B92)</x:f>
        <x:v>84</x:v>
      </x:c>
      <x:c r="G92" t="str">
        <x:v>Video</x:v>
      </x:c>
      <x:c r="H92" s="27" t="str">
        <x:f>XLOOKUP(B92,'Home Feed'!$E$7:$E$235,'Home Feed'!$C$7:$C$235,"")</x:f>
        <x:v>Let's build a voltage multiplier!</x:v>
      </x:c>
      <x:c r="I92" s="96" t="str">
        <x:v>https://www.youtube.com/@BenEater</x:v>
      </x:c>
    </x:row>
    <x:row r="93" ht="32" customHeight="1">
      <x:c r="A93" s="26" t="n">
        <x:v>87</x:v>
      </x:c>
      <x:c r="B93" t="str">
        <x:v>Queen</x:v>
      </x:c>
      <x:c r="C93" t="str">
        <x:v>@Queen3369</x:v>
      </x:c>
      <x:c r="D93" s="26" t="str">
        <x:f>IF(OR(COUNTIF('Current Subscriptions'!$B$7:$B$83,B93)&gt;0,COUNTIF('Current Subscriptions'!$C$7:$C$83,C93)&gt;0),"Yes","No")</x:f>
        <x:v>No</x:v>
      </x:c>
      <x:c r="E93" s="26" t="n">
        <x:f>COUNTIF('Home Feed'!$E$7:$E$235,B93)</x:f>
        <x:v>1</x:v>
      </x:c>
      <x:c r="F93" s="26" t="n">
        <x:f>MINIFS('Home Feed'!$A$7:$A$235,'Home Feed'!$E$7:$E$235,B93)</x:f>
        <x:v>87</x:v>
      </x:c>
      <x:c r="G93" t="str">
        <x:v>Video</x:v>
      </x:c>
      <x:c r="H93" s="27" t="str">
        <x:f>XLOOKUP(B93,'Home Feed'!$E$7:$E$235,'Home Feed'!$C$7:$C$235,"")</x:f>
        <x:v>The Courage To Be Misunderstood - Carl Jung</x:v>
      </x:c>
      <x:c r="I93" s="96" t="str">
        <x:v>https://www.youtube.com/@Queen3369</x:v>
      </x:c>
    </x:row>
    <x:row r="94" ht="32" customHeight="1">
      <x:c r="A94" s="26" t="n">
        <x:v>88</x:v>
      </x:c>
      <x:c r="B94" t="str">
        <x:v>Easy French</x:v>
      </x:c>
      <x:c r="C94" t="str">
        <x:v>@EasyFrench</x:v>
      </x:c>
      <x:c r="D94" s="26" t="str">
        <x:f>IF(OR(COUNTIF('Current Subscriptions'!$B$7:$B$83,B94)&gt;0,COUNTIF('Current Subscriptions'!$C$7:$C$83,C94)&gt;0),"Yes","No")</x:f>
        <x:v>No</x:v>
      </x:c>
      <x:c r="E94" s="26" t="n">
        <x:f>COUNTIF('Home Feed'!$E$7:$E$235,B94)</x:f>
        <x:v>1</x:v>
      </x:c>
      <x:c r="F94" s="26" t="n">
        <x:f>MINIFS('Home Feed'!$A$7:$A$235,'Home Feed'!$E$7:$E$235,B94)</x:f>
        <x:v>88</x:v>
      </x:c>
      <x:c r="G94" t="str">
        <x:v>Video</x:v>
      </x:c>
      <x:c r="H94" s="27" t="str">
        <x:f>XLOOKUP(B94,'Home Feed'!$E$7:$E$235,'Home Feed'!$C$7:$C$235,"")</x:f>
        <x:v>Is It Difficult To Learn French? | Easy French 193</x:v>
      </x:c>
      <x:c r="I94" s="96" t="str">
        <x:v>https://www.youtube.com/@EasyFrench</x:v>
      </x:c>
    </x:row>
    <x:row r="95" ht="32" customHeight="1">
      <x:c r="A95" s="26" t="n">
        <x:v>89</x:v>
      </x:c>
      <x:c r="B95" t="str">
        <x:v>camiidae</x:v>
      </x:c>
      <x:c r="C95" t="str">
        <x:v>@camiidae</x:v>
      </x:c>
      <x:c r="D95" s="26" t="str">
        <x:f>IF(OR(COUNTIF('Current Subscriptions'!$B$7:$B$83,B95)&gt;0,COUNTIF('Current Subscriptions'!$C$7:$C$83,C95)&gt;0),"Yes","No")</x:f>
        <x:v>No</x:v>
      </x:c>
      <x:c r="E95" s="26" t="n">
        <x:f>COUNTIF('Home Feed'!$E$7:$E$235,B95)</x:f>
        <x:v>1</x:v>
      </x:c>
      <x:c r="F95" s="26" t="n">
        <x:f>MINIFS('Home Feed'!$A$7:$A$235,'Home Feed'!$E$7:$E$235,B95)</x:f>
        <x:v>89</x:v>
      </x:c>
      <x:c r="G95" t="str">
        <x:v>Video</x:v>
      </x:c>
      <x:c r="H95" s="27" t="str">
        <x:f>XLOOKUP(B95,'Home Feed'!$E$7:$E$235,'Home Feed'!$C$7:$C$235,"")</x:f>
        <x:v>music for bugs - full album</x:v>
      </x:c>
      <x:c r="I95" s="96" t="str">
        <x:v>https://www.youtube.com/@camiidae</x:v>
      </x:c>
    </x:row>
    <x:row r="96" ht="32" customHeight="1">
      <x:c r="A96" s="26" t="n">
        <x:v>90</x:v>
      </x:c>
      <x:c r="B96" t="str">
        <x:v>Bryan Johnson</x:v>
      </x:c>
      <x:c r="C96" t="str">
        <x:v>@BryanJohnson</x:v>
      </x:c>
      <x:c r="D96" s="26" t="str">
        <x:f>IF(OR(COUNTIF('Current Subscriptions'!$B$7:$B$83,B96)&gt;0,COUNTIF('Current Subscriptions'!$C$7:$C$83,C96)&gt;0),"Yes","No")</x:f>
        <x:v>No</x:v>
      </x:c>
      <x:c r="E96" s="26" t="n">
        <x:f>COUNTIF('Home Feed'!$E$7:$E$235,B96)</x:f>
        <x:v>1</x:v>
      </x:c>
      <x:c r="F96" s="26" t="n">
        <x:f>MINIFS('Home Feed'!$A$7:$A$235,'Home Feed'!$E$7:$E$235,B96)</x:f>
        <x:v>90</x:v>
      </x:c>
      <x:c r="G96" t="str">
        <x:v>Video</x:v>
      </x:c>
      <x:c r="H96" s="27" t="str">
        <x:f>XLOOKUP(B96,'Home Feed'!$E$7:$E$235,'Home Feed'!$C$7:$C$235,"")</x:f>
        <x:v>Meet The World's Most Measured Woman</x:v>
      </x:c>
      <x:c r="I96" s="96" t="str">
        <x:v>https://www.youtube.com/@BryanJohnson</x:v>
      </x:c>
    </x:row>
    <x:row r="97" ht="32" customHeight="1">
      <x:c r="A97" s="26" t="n">
        <x:v>91</x:v>
      </x:c>
      <x:c r="B97" t="str">
        <x:v>UMA Studios</x:v>
      </x:c>
      <x:c r="C97" t="str">
        <x:v>@umaentertain</x:v>
      </x:c>
      <x:c r="D97" s="26" t="str">
        <x:f>IF(OR(COUNTIF('Current Subscriptions'!$B$7:$B$83,B97)&gt;0,COUNTIF('Current Subscriptions'!$C$7:$C$83,C97)&gt;0),"Yes","No")</x:f>
        <x:v>No</x:v>
      </x:c>
      <x:c r="E97" s="26" t="n">
        <x:f>COUNTIF('Home Feed'!$E$7:$E$235,B97)</x:f>
        <x:v>1</x:v>
      </x:c>
      <x:c r="F97" s="26" t="n">
        <x:f>MINIFS('Home Feed'!$A$7:$A$235,'Home Feed'!$E$7:$E$235,B97)</x:f>
        <x:v>91</x:v>
      </x:c>
      <x:c r="G97" t="str">
        <x:v>Video</x:v>
      </x:c>
      <x:c r="H97" s="27" t="str">
        <x:f>XLOOKUP(B97,'Home Feed'!$E$7:$E$235,'Home Feed'!$C$7:$C$235,"")</x:f>
        <x:v>AURORA Live from COP26 | UMA Entertainment</x:v>
      </x:c>
      <x:c r="I97" s="96" t="str">
        <x:v>https://www.youtube.com/@umaentertain</x:v>
      </x:c>
    </x:row>
    <x:row r="98" ht="32" customHeight="1">
      <x:c r="A98" s="26" t="n">
        <x:v>92</x:v>
      </x:c>
      <x:c r="B98" t="str">
        <x:v>Brooke Cormier</x:v>
      </x:c>
      <x:c r="C98" t="str">
        <x:v>@b.cormier</x:v>
      </x:c>
      <x:c r="D98" s="26" t="str">
        <x:f>IF(OR(COUNTIF('Current Subscriptions'!$B$7:$B$83,B98)&gt;0,COUNTIF('Current Subscriptions'!$C$7:$C$83,C98)&gt;0),"Yes","No")</x:f>
        <x:v>No</x:v>
      </x:c>
      <x:c r="E98" s="26" t="n">
        <x:f>COUNTIF('Home Feed'!$E$7:$E$235,B98)</x:f>
        <x:v>1</x:v>
      </x:c>
      <x:c r="F98" s="26" t="n">
        <x:f>MINIFS('Home Feed'!$A$7:$A$235,'Home Feed'!$E$7:$E$235,B98)</x:f>
        <x:v>92</x:v>
      </x:c>
      <x:c r="G98" t="str">
        <x:v>Video</x:v>
      </x:c>
      <x:c r="H98" s="27" t="str">
        <x:f>XLOOKUP(B98,'Home Feed'!$E$7:$E$235,'Home Feed'!$C$7:$C$235,"")</x:f>
        <x:v>How I Tricked Myself Into Believing I Could</x:v>
      </x:c>
      <x:c r="I98" s="96" t="str">
        <x:v>https://www.youtube.com/@b.cormier</x:v>
      </x:c>
    </x:row>
    <x:row r="99" ht="32" customHeight="1">
      <x:c r="A99" s="26" t="n">
        <x:v>93</x:v>
      </x:c>
      <x:c r="B99" t="str">
        <x:v>Perfect Life Seven GN</x:v>
      </x:c>
      <x:c r="C99" t="str">
        <x:v>@PerfectLifesevenGN</x:v>
      </x:c>
      <x:c r="D99" s="26" t="str">
        <x:f>IF(OR(COUNTIF('Current Subscriptions'!$B$7:$B$83,B99)&gt;0,COUNTIF('Current Subscriptions'!$C$7:$C$83,C99)&gt;0),"Yes","No")</x:f>
        <x:v>No</x:v>
      </x:c>
      <x:c r="E99" s="26" t="n">
        <x:f>COUNTIF('Home Feed'!$E$7:$E$235,B99)</x:f>
        <x:v>1</x:v>
      </x:c>
      <x:c r="F99" s="26" t="n">
        <x:f>MINIFS('Home Feed'!$A$7:$A$235,'Home Feed'!$E$7:$E$235,B99)</x:f>
        <x:v>93</x:v>
      </x:c>
      <x:c r="G99" t="str">
        <x:v>Video</x:v>
      </x:c>
      <x:c r="H99" s="27" t="str">
        <x:f>XLOOKUP(B99,'Home Feed'!$E$7:$E$235,'Home Feed'!$C$7:$C$235,"")</x:f>
        <x:v>Focus On Yourself Not Others 🌟 A Buddhist Guide to Finding Inner Peace</x:v>
      </x:c>
      <x:c r="I99" s="96" t="str">
        <x:v>https://www.youtube.com/@PerfectLifesevenGN</x:v>
      </x:c>
    </x:row>
    <x:row r="100" ht="32" customHeight="1">
      <x:c r="A100" s="26" t="n">
        <x:v>94</x:v>
      </x:c>
      <x:c r="B100" t="str">
        <x:v>typecraft</x:v>
      </x:c>
      <x:c r="C100" t="str">
        <x:v>@typecraft_dev</x:v>
      </x:c>
      <x:c r="D100" s="26" t="str">
        <x:f>IF(OR(COUNTIF('Current Subscriptions'!$B$7:$B$83,B100)&gt;0,COUNTIF('Current Subscriptions'!$C$7:$C$83,C100)&gt;0),"Yes","No")</x:f>
        <x:v>No</x:v>
      </x:c>
      <x:c r="E100" s="26" t="n">
        <x:f>COUNTIF('Home Feed'!$E$7:$E$235,B100)</x:f>
        <x:v>1</x:v>
      </x:c>
      <x:c r="F100" s="26" t="n">
        <x:f>MINIFS('Home Feed'!$A$7:$A$235,'Home Feed'!$E$7:$E$235,B100)</x:f>
        <x:v>95</x:v>
      </x:c>
      <x:c r="G100" t="str">
        <x:v>Video</x:v>
      </x:c>
      <x:c r="H100" s="27" t="str">
        <x:f>XLOOKUP(B100,'Home Feed'!$E$7:$E$235,'Home Feed'!$C$7:$C$235,"")</x:f>
        <x:v>I was replaced by AI</x:v>
      </x:c>
      <x:c r="I100" s="96" t="str">
        <x:v>https://www.youtube.com/@typecraft_dev</x:v>
      </x:c>
    </x:row>
    <x:row r="101" ht="32" customHeight="1">
      <x:c r="A101" s="26" t="n">
        <x:v>95</x:v>
      </x:c>
      <x:c r="B101" t="str">
        <x:v>Magdalena Bay</x:v>
      </x:c>
      <x:c r="C101" t="str">
        <x:v>@MagdalenaBay</x:v>
      </x:c>
      <x:c r="D101" s="26" t="str">
        <x:f>IF(OR(COUNTIF('Current Subscriptions'!$B$7:$B$83,B101)&gt;0,COUNTIF('Current Subscriptions'!$C$7:$C$83,C101)&gt;0),"Yes","No")</x:f>
        <x:v>No</x:v>
      </x:c>
      <x:c r="E101" s="26" t="n">
        <x:f>COUNTIF('Home Feed'!$E$7:$E$235,B101)</x:f>
        <x:v>1</x:v>
      </x:c>
      <x:c r="F101" s="26" t="n">
        <x:f>MINIFS('Home Feed'!$A$7:$A$235,'Home Feed'!$E$7:$E$235,B101)</x:f>
        <x:v>96</x:v>
      </x:c>
      <x:c r="G101" t="str">
        <x:v>Video</x:v>
      </x:c>
      <x:c r="H101" s="27" t="str">
        <x:f>XLOOKUP(B101,'Home Feed'!$E$7:$E$235,'Home Feed'!$C$7:$C$235,"")</x:f>
        <x:v>Imaginal Disk Production Walkthrough Part 1</x:v>
      </x:c>
      <x:c r="I101" s="96" t="str">
        <x:v>https://www.youtube.com/@MagdalenaBay</x:v>
      </x:c>
    </x:row>
    <x:row r="102" ht="32" customHeight="1">
      <x:c r="A102" s="26" t="n">
        <x:v>96</x:v>
      </x:c>
      <x:c r="B102" t="str">
        <x:v>Lofi Girl</x:v>
      </x:c>
      <x:c r="C102" t="str">
        <x:v>@LofiGirl</x:v>
      </x:c>
      <x:c r="D102" s="26" t="str">
        <x:f>IF(OR(COUNTIF('Current Subscriptions'!$B$7:$B$83,B102)&gt;0,COUNTIF('Current Subscriptions'!$C$7:$C$83,C102)&gt;0),"Yes","No")</x:f>
        <x:v>No</x:v>
      </x:c>
      <x:c r="E102" s="26" t="n">
        <x:f>COUNTIF('Home Feed'!$E$7:$E$235,B102)</x:f>
        <x:v>1</x:v>
      </x:c>
      <x:c r="F102" s="26" t="n">
        <x:f>MINIFS('Home Feed'!$A$7:$A$235,'Home Feed'!$E$7:$E$235,B102)</x:f>
        <x:v>97</x:v>
      </x:c>
      <x:c r="G102" t="str">
        <x:v>Video</x:v>
      </x:c>
      <x:c r="H102" s="27" t="str">
        <x:f>XLOOKUP(B102,'Home Feed'!$E$7:$E$235,'Home Feed'!$C$7:$C$235,"")</x:f>
        <x:v>summer lofi ☀️ chill beats to relax to</x:v>
      </x:c>
      <x:c r="I102" s="96" t="str">
        <x:v>https://www.youtube.com/@LofiGirl</x:v>
      </x:c>
    </x:row>
    <x:row r="103" ht="32" customHeight="1">
      <x:c r="A103" s="26" t="n">
        <x:v>97</x:v>
      </x:c>
      <x:c r="B103" t="str">
        <x:v>FRENCH TIME</x:v>
      </x:c>
      <x:c r="C103" t="str">
        <x:v>@FRENCHTIME2023</x:v>
      </x:c>
      <x:c r="D103" s="26" t="str">
        <x:f>IF(OR(COUNTIF('Current Subscriptions'!$B$7:$B$83,B103)&gt;0,COUNTIF('Current Subscriptions'!$C$7:$C$83,C103)&gt;0),"Yes","No")</x:f>
        <x:v>No</x:v>
      </x:c>
      <x:c r="E103" s="26" t="n">
        <x:f>COUNTIF('Home Feed'!$E$7:$E$235,B103)</x:f>
        <x:v>1</x:v>
      </x:c>
      <x:c r="F103" s="26" t="n">
        <x:f>MINIFS('Home Feed'!$A$7:$A$235,'Home Feed'!$E$7:$E$235,B103)</x:f>
        <x:v>99</x:v>
      </x:c>
      <x:c r="G103" t="str">
        <x:v>Video</x:v>
      </x:c>
      <x:c r="H103" s="27" t="str">
        <x:f>XLOOKUP(B103,'Home Feed'!$E$7:$E$235,'Home Feed'!$C$7:$C$235,"")</x:f>
        <x:v>How French People Express Worry | Listen &amp; Repeat!</x:v>
      </x:c>
      <x:c r="I103" s="96" t="str">
        <x:v>https://www.youtube.com/@FRENCHTIME2023</x:v>
      </x:c>
    </x:row>
    <x:row r="104" ht="32" customHeight="1">
      <x:c r="A104" s="26" t="n">
        <x:v>98</x:v>
      </x:c>
      <x:c r="B104" t="str">
        <x:v>Data Slayer</x:v>
      </x:c>
      <x:c r="C104" t="str">
        <x:v>@DataSlayerMedia</x:v>
      </x:c>
      <x:c r="D104" s="26" t="str">
        <x:f>IF(OR(COUNTIF('Current Subscriptions'!$B$7:$B$83,B104)&gt;0,COUNTIF('Current Subscriptions'!$C$7:$C$83,C104)&gt;0),"Yes","No")</x:f>
        <x:v>No</x:v>
      </x:c>
      <x:c r="E104" s="26" t="n">
        <x:f>COUNTIF('Home Feed'!$E$7:$E$235,B104)</x:f>
        <x:v>1</x:v>
      </x:c>
      <x:c r="F104" s="26" t="n">
        <x:f>MINIFS('Home Feed'!$A$7:$A$235,'Home Feed'!$E$7:$E$235,B104)</x:f>
        <x:v>100</x:v>
      </x:c>
      <x:c r="G104" t="str">
        <x:v>Video</x:v>
      </x:c>
      <x:c r="H104" s="27" t="str">
        <x:f>XLOOKUP(B104,'Home Feed'!$E$7:$E$235,'Home Feed'!$C$7:$C$235,"")</x:f>
        <x:v>Generations of Wi-Fi Have Led to This</x:v>
      </x:c>
      <x:c r="I104" s="96" t="str">
        <x:v>https://www.youtube.com/@DataSlayerMedia</x:v>
      </x:c>
    </x:row>
    <x:row r="105" ht="32" customHeight="1">
      <x:c r="A105" s="26" t="n">
        <x:v>99</x:v>
      </x:c>
      <x:c r="B105" t="str">
        <x:v>Psychicjane</x:v>
      </x:c>
      <x:c r="C105" t="str">
        <x:v>@Psychicjane111</x:v>
      </x:c>
      <x:c r="D105" s="26" t="str">
        <x:f>IF(OR(COUNTIF('Current Subscriptions'!$B$7:$B$83,B105)&gt;0,COUNTIF('Current Subscriptions'!$C$7:$C$83,C105)&gt;0),"Yes","No")</x:f>
        <x:v>No</x:v>
      </x:c>
      <x:c r="E105" s="26" t="n">
        <x:f>COUNTIF('Home Feed'!$E$7:$E$235,B105)</x:f>
        <x:v>1</x:v>
      </x:c>
      <x:c r="F105" s="26" t="n">
        <x:f>MINIFS('Home Feed'!$A$7:$A$235,'Home Feed'!$E$7:$E$235,B105)</x:f>
        <x:v>101</x:v>
      </x:c>
      <x:c r="G105" t="str">
        <x:v>Video</x:v>
      </x:c>
      <x:c r="H105" s="27" t="str">
        <x:f>XLOOKUP(B105,'Home Feed'!$E$7:$E$235,'Home Feed'!$C$7:$C$235,"")</x:f>
        <x:v>You Are A Warrior Becoming A Champion: Strong Frequency Holder Merging With Your Higher Self</x:v>
      </x:c>
      <x:c r="I105" s="96" t="str">
        <x:v>https://www.youtube.com/@Psychicjane111</x:v>
      </x:c>
    </x:row>
    <x:row r="106" ht="32" customHeight="1">
      <x:c r="A106" s="26" t="n">
        <x:v>100</x:v>
      </x:c>
      <x:c r="B106" t="str">
        <x:v>Patrick Teahan</x:v>
      </x:c>
      <x:c r="C106" t="str">
        <x:v>@patrickteahanofficial</x:v>
      </x:c>
      <x:c r="D106" s="26" t="str">
        <x:f>IF(OR(COUNTIF('Current Subscriptions'!$B$7:$B$83,B106)&gt;0,COUNTIF('Current Subscriptions'!$C$7:$C$83,C106)&gt;0),"Yes","No")</x:f>
        <x:v>No</x:v>
      </x:c>
      <x:c r="E106" s="26" t="n">
        <x:f>COUNTIF('Home Feed'!$E$7:$E$235,B106)</x:f>
        <x:v>1</x:v>
      </x:c>
      <x:c r="F106" s="26" t="n">
        <x:f>MINIFS('Home Feed'!$A$7:$A$235,'Home Feed'!$E$7:$E$235,B106)</x:f>
        <x:v>102</x:v>
      </x:c>
      <x:c r="G106" t="str">
        <x:v>Video</x:v>
      </x:c>
      <x:c r="H106" s="27" t="str">
        <x:f>XLOOKUP(B106,'Home Feed'!$E$7:$E$235,'Home Feed'!$C$7:$C$235,"")</x:f>
        <x:v>How Toxic Mothers Hurt Their Sons for Life</x:v>
      </x:c>
      <x:c r="I106" s="96" t="str">
        <x:v>https://www.youtube.com/@patrickteahanofficial</x:v>
      </x:c>
    </x:row>
    <x:row r="107" ht="32" customHeight="1">
      <x:c r="A107" s="26" t="n">
        <x:v>101</x:v>
      </x:c>
      <x:c r="B107" t="str">
        <x:v>Settled</x:v>
      </x:c>
      <x:c r="C107" t="str">
        <x:v>@Settledrs</x:v>
      </x:c>
      <x:c r="D107" s="26" t="str">
        <x:f>IF(OR(COUNTIF('Current Subscriptions'!$B$7:$B$83,B107)&gt;0,COUNTIF('Current Subscriptions'!$C$7:$C$83,C107)&gt;0),"Yes","No")</x:f>
        <x:v>No</x:v>
      </x:c>
      <x:c r="E107" s="26" t="n">
        <x:f>COUNTIF('Home Feed'!$E$7:$E$235,B107)</x:f>
        <x:v>1</x:v>
      </x:c>
      <x:c r="F107" s="26" t="n">
        <x:f>MINIFS('Home Feed'!$A$7:$A$235,'Home Feed'!$E$7:$E$235,B107)</x:f>
        <x:v>103</x:v>
      </x:c>
      <x:c r="G107" t="str">
        <x:v>Video</x:v>
      </x:c>
      <x:c r="H107" s="27" t="str">
        <x:f>XLOOKUP(B107,'Home Feed'!$E$7:$E$235,'Home Feed'!$C$7:$C$235,"")</x:f>
        <x:v>the second island | Sailing Locked (#2)</x:v>
      </x:c>
      <x:c r="I107" s="96" t="str">
        <x:v>https://www.youtube.com/@Settledrs</x:v>
      </x:c>
    </x:row>
    <x:row r="108" ht="32" customHeight="1">
      <x:c r="A108" s="26" t="n">
        <x:v>102</x:v>
      </x:c>
      <x:c r="B108" t="str">
        <x:v>Chris Williamson</x:v>
      </x:c>
      <x:c r="C108" t="str">
        <x:v>@ChrisWillx</x:v>
      </x:c>
      <x:c r="D108" s="26" t="str">
        <x:f>IF(OR(COUNTIF('Current Subscriptions'!$B$7:$B$83,B108)&gt;0,COUNTIF('Current Subscriptions'!$C$7:$C$83,C108)&gt;0),"Yes","No")</x:f>
        <x:v>No</x:v>
      </x:c>
      <x:c r="E108" s="26" t="n">
        <x:f>COUNTIF('Home Feed'!$E$7:$E$235,B108)</x:f>
        <x:v>1</x:v>
      </x:c>
      <x:c r="F108" s="26" t="n">
        <x:f>MINIFS('Home Feed'!$A$7:$A$235,'Home Feed'!$E$7:$E$235,B108)</x:f>
        <x:v>104</x:v>
      </x:c>
      <x:c r="G108" t="str">
        <x:v>Video</x:v>
      </x:c>
      <x:c r="H108" s="27" t="str">
        <x:f>XLOOKUP(B108,'Home Feed'!$E$7:$E$235,'Home Feed'!$C$7:$C$235,"")</x:f>
        <x:v>What the "Shower Test" Says About Your Life - Jimmy Carr</x:v>
      </x:c>
      <x:c r="I108" s="96" t="str">
        <x:v>https://www.youtube.com/@ChrisWillx</x:v>
      </x:c>
    </x:row>
    <x:row r="109" ht="32" customHeight="1">
      <x:c r="A109" s="26" t="n">
        <x:v>103</x:v>
      </x:c>
      <x:c r="B109" t="str">
        <x:v>dwaler</x:v>
      </x:c>
      <x:c r="C109" t="str">
        <x:v>@dwalermusic</x:v>
      </x:c>
      <x:c r="D109" s="26" t="str">
        <x:f>IF(OR(COUNTIF('Current Subscriptions'!$B$7:$B$83,B109)&gt;0,COUNTIF('Current Subscriptions'!$C$7:$C$83,C109)&gt;0),"Yes","No")</x:f>
        <x:v>No</x:v>
      </x:c>
      <x:c r="E109" s="26" t="n">
        <x:f>COUNTIF('Home Feed'!$E$7:$E$235,B109)</x:f>
        <x:v>1</x:v>
      </x:c>
      <x:c r="F109" s="26" t="n">
        <x:f>MINIFS('Home Feed'!$A$7:$A$235,'Home Feed'!$E$7:$E$235,B109)</x:f>
        <x:v>106</x:v>
      </x:c>
      <x:c r="G109" t="str">
        <x:v>Video</x:v>
      </x:c>
      <x:c r="H109" s="27" t="str">
        <x:f>XLOOKUP(B109,'Home Feed'!$E$7:$E$235,'Home Feed'!$C$7:$C$235,"")</x:f>
        <x:v>we´ll be okay - Soft Guitar Meditations (40 mins)</x:v>
      </x:c>
      <x:c r="I109" s="96" t="str">
        <x:v>https://www.youtube.com/@dwalermusic</x:v>
      </x:c>
    </x:row>
    <x:row r="110" ht="32" customHeight="1">
      <x:c r="A110" s="26" t="n">
        <x:v>104</x:v>
      </x:c>
      <x:c r="B110" t="str">
        <x:v>NileBlue</x:v>
      </x:c>
      <x:c r="C110" t="str">
        <x:v>@NileBlue</x:v>
      </x:c>
      <x:c r="D110" s="26" t="str">
        <x:f>IF(OR(COUNTIF('Current Subscriptions'!$B$7:$B$83,B110)&gt;0,COUNTIF('Current Subscriptions'!$C$7:$C$83,C110)&gt;0),"Yes","No")</x:f>
        <x:v>No</x:v>
      </x:c>
      <x:c r="E110" s="26" t="n">
        <x:f>COUNTIF('Home Feed'!$E$7:$E$235,B110)</x:f>
        <x:v>1</x:v>
      </x:c>
      <x:c r="F110" s="26" t="n">
        <x:f>MINIFS('Home Feed'!$A$7:$A$235,'Home Feed'!$E$7:$E$235,B110)</x:f>
        <x:v>107</x:v>
      </x:c>
      <x:c r="G110" t="str">
        <x:v>Video</x:v>
      </x:c>
      <x:c r="H110" s="27" t="str">
        <x:f>XLOOKUP(B110,'Home Feed'!$E$7:$E$235,'Home Feed'!$C$7:$C$235,"")</x:f>
        <x:v>Making an apple that tastes like anything</x:v>
      </x:c>
      <x:c r="I110" s="96" t="str">
        <x:v>https://www.youtube.com/@NileBlue</x:v>
      </x:c>
    </x:row>
    <x:row r="111" ht="32" customHeight="1">
      <x:c r="A111" s="26" t="n">
        <x:v>105</x:v>
      </x:c>
      <x:c r="B111" t="str">
        <x:v>Low Level</x:v>
      </x:c>
      <x:c r="C111" t="str">
        <x:v>@LowLevelTV</x:v>
      </x:c>
      <x:c r="D111" s="26" t="str">
        <x:f>IF(OR(COUNTIF('Current Subscriptions'!$B$7:$B$83,B111)&gt;0,COUNTIF('Current Subscriptions'!$C$7:$C$83,C111)&gt;0),"Yes","No")</x:f>
        <x:v>No</x:v>
      </x:c>
      <x:c r="E111" s="26" t="n">
        <x:f>COUNTIF('Home Feed'!$E$7:$E$235,B111)</x:f>
        <x:v>1</x:v>
      </x:c>
      <x:c r="F111" s="26" t="n">
        <x:f>MINIFS('Home Feed'!$A$7:$A$235,'Home Feed'!$E$7:$E$235,B111)</x:f>
        <x:v>108</x:v>
      </x:c>
      <x:c r="G111" t="str">
        <x:v>Video</x:v>
      </x:c>
      <x:c r="H111" s="27" t="str">
        <x:f>XLOOKUP(B111,'Home Feed'!$E$7:$E$235,'Home Feed'!$C$7:$C$235,"")</x:f>
        <x:v>im shocked more people aren't talking about this</x:v>
      </x:c>
      <x:c r="I111" s="96" t="str">
        <x:v>https://www.youtube.com/@LowLevelTV</x:v>
      </x:c>
    </x:row>
    <x:row r="112" ht="32" customHeight="1">
      <x:c r="A112" s="26" t="n">
        <x:v>106</x:v>
      </x:c>
      <x:c r="B112" t="str">
        <x:v>Valorant Repack</x:v>
      </x:c>
      <x:c r="C112" t="str">
        <x:v>@ValorantRepack</x:v>
      </x:c>
      <x:c r="D112" s="26" t="str">
        <x:f>IF(OR(COUNTIF('Current Subscriptions'!$B$7:$B$83,B112)&gt;0,COUNTIF('Current Subscriptions'!$C$7:$C$83,C112)&gt;0),"Yes","No")</x:f>
        <x:v>No</x:v>
      </x:c>
      <x:c r="E112" s="26" t="n">
        <x:f>COUNTIF('Home Feed'!$E$7:$E$235,B112)</x:f>
        <x:v>1</x:v>
      </x:c>
      <x:c r="F112" s="26" t="n">
        <x:f>MINIFS('Home Feed'!$A$7:$A$235,'Home Feed'!$E$7:$E$235,B112)</x:f>
        <x:v>109</x:v>
      </x:c>
      <x:c r="G112" t="str">
        <x:v>Video</x:v>
      </x:c>
      <x:c r="H112" s="27" t="str">
        <x:f>XLOOKUP(B112,'Home Feed'!$E$7:$E$235,'Home Feed'!$C$7:$C$235,"")</x:f>
        <x:v>30 Minutes of Streamers React to GE vs KRX CRAZY Moments in VCT Pacific Stage 2</x:v>
      </x:c>
      <x:c r="I112" s="96" t="str">
        <x:v>https://www.youtube.com/@ValorantRepack</x:v>
      </x:c>
    </x:row>
    <x:row r="113" ht="32" customHeight="1">
      <x:c r="A113" s="26" t="n">
        <x:v>107</x:v>
      </x:c>
      <x:c r="B113" t="str">
        <x:v>Siobhan Brier Aguilar</x:v>
      </x:c>
      <x:c r="C113" t="str">
        <x:v>@SiobhanBrierAguilar</x:v>
      </x:c>
      <x:c r="D113" s="26" t="str">
        <x:f>IF(OR(COUNTIF('Current Subscriptions'!$B$7:$B$83,B113)&gt;0,COUNTIF('Current Subscriptions'!$C$7:$C$83,C113)&gt;0),"Yes","No")</x:f>
        <x:v>No</x:v>
      </x:c>
      <x:c r="E113" s="26" t="n">
        <x:f>COUNTIF('Home Feed'!$E$7:$E$235,B113)</x:f>
        <x:v>1</x:v>
      </x:c>
      <x:c r="F113" s="26" t="n">
        <x:f>MINIFS('Home Feed'!$A$7:$A$235,'Home Feed'!$E$7:$E$235,B113)</x:f>
        <x:v>110</x:v>
      </x:c>
      <x:c r="G113" t="str">
        <x:v>Video</x:v>
      </x:c>
      <x:c r="H113" s="27" t="str">
        <x:f>XLOOKUP(B113,'Home Feed'!$E$7:$E$235,'Home Feed'!$C$7:$C$235,"")</x:f>
        <x:v>I read Elizabeth Gilbert's new book about her plot to k*ll her gf so you don't have to.</x:v>
      </x:c>
      <x:c r="I113" s="96" t="str">
        <x:v>https://www.youtube.com/@SiobhanBrierAguilar</x:v>
      </x:c>
    </x:row>
    <x:row r="114" ht="32" customHeight="1">
      <x:c r="A114" s="26" t="n">
        <x:v>108</x:v>
      </x:c>
      <x:c r="B114" t="str">
        <x:v>Steve Mould</x:v>
      </x:c>
      <x:c r="C114" t="str">
        <x:v>@SteveMould</x:v>
      </x:c>
      <x:c r="D114" s="26" t="str">
        <x:f>IF(OR(COUNTIF('Current Subscriptions'!$B$7:$B$83,B114)&gt;0,COUNTIF('Current Subscriptions'!$C$7:$C$83,C114)&gt;0),"Yes","No")</x:f>
        <x:v>No</x:v>
      </x:c>
      <x:c r="E114" s="26" t="n">
        <x:f>COUNTIF('Home Feed'!$E$7:$E$235,B114)</x:f>
        <x:v>1</x:v>
      </x:c>
      <x:c r="F114" s="26" t="n">
        <x:f>MINIFS('Home Feed'!$A$7:$A$235,'Home Feed'!$E$7:$E$235,B114)</x:f>
        <x:v>111</x:v>
      </x:c>
      <x:c r="G114" t="str">
        <x:v>Video</x:v>
      </x:c>
      <x:c r="H114" s="27" t="str">
        <x:f>XLOOKUP(B114,'Home Feed'!$E$7:$E$235,'Home Feed'!$C$7:$C$235,"")</x:f>
        <x:v>This Device Goes Past Equilibrium</x:v>
      </x:c>
      <x:c r="I114" s="96" t="str">
        <x:v>https://www.youtube.com/@SteveMould</x:v>
      </x:c>
    </x:row>
    <x:row r="115" ht="32" customHeight="1">
      <x:c r="A115" s="26" t="n">
        <x:v>109</x:v>
      </x:c>
      <x:c r="B115" t="str">
        <x:v>Saja Fendél</x:v>
      </x:c>
      <x:c r="C115" t="str">
        <x:v>@sajafendel</x:v>
      </x:c>
      <x:c r="D115" s="26" t="str">
        <x:f>IF(OR(COUNTIF('Current Subscriptions'!$B$7:$B$83,B115)&gt;0,COUNTIF('Current Subscriptions'!$C$7:$C$83,C115)&gt;0),"Yes","No")</x:f>
        <x:v>No</x:v>
      </x:c>
      <x:c r="E115" s="26" t="n">
        <x:f>COUNTIF('Home Feed'!$E$7:$E$235,B115)</x:f>
        <x:v>1</x:v>
      </x:c>
      <x:c r="F115" s="26" t="n">
        <x:f>MINIFS('Home Feed'!$A$7:$A$235,'Home Feed'!$E$7:$E$235,B115)</x:f>
        <x:v>112</x:v>
      </x:c>
      <x:c r="G115" t="str">
        <x:v>Video</x:v>
      </x:c>
      <x:c r="H115" s="27" t="str">
        <x:f>XLOOKUP(B115,'Home Feed'!$E$7:$E$235,'Home Feed'!$C$7:$C$235,"")</x:f>
        <x:v>Creating anything you want in life is literally effortless.</x:v>
      </x:c>
      <x:c r="I115" s="96" t="str">
        <x:v>https://www.youtube.com/@sajafendel</x:v>
      </x:c>
    </x:row>
    <x:row r="116" ht="32" customHeight="1">
      <x:c r="A116" s="26" t="n">
        <x:v>110</x:v>
      </x:c>
      <x:c r="B116" t="str">
        <x:v>Casey Simpson</x:v>
      </x:c>
      <x:c r="C116" t="str">
        <x:v>@caseysimpsonchannel</x:v>
      </x:c>
      <x:c r="D116" s="26" t="str">
        <x:f>IF(OR(COUNTIF('Current Subscriptions'!$B$7:$B$83,B116)&gt;0,COUNTIF('Current Subscriptions'!$C$7:$C$83,C116)&gt;0),"Yes","No")</x:f>
        <x:v>No</x:v>
      </x:c>
      <x:c r="E116" s="26" t="n">
        <x:f>COUNTIF('Home Feed'!$E$7:$E$235,B116)</x:f>
        <x:v>1</x:v>
      </x:c>
      <x:c r="F116" s="26" t="n">
        <x:f>MINIFS('Home Feed'!$A$7:$A$235,'Home Feed'!$E$7:$E$235,B116)</x:f>
        <x:v>114</x:v>
      </x:c>
      <x:c r="G116" t="str">
        <x:v>Video</x:v>
      </x:c>
      <x:c r="H116" s="27" t="str">
        <x:f>XLOOKUP(B116,'Home Feed'!$E$7:$E$235,'Home Feed'!$C$7:$C$235,"")</x:f>
        <x:v>The Simple Trick to Stop Caring What People Think</x:v>
      </x:c>
      <x:c r="I116" s="96" t="str">
        <x:v>https://www.youtube.com/@caseysimpsonchannel</x:v>
      </x:c>
    </x:row>
    <x:row r="117" ht="32" customHeight="1">
      <x:c r="A117" s="26" t="n">
        <x:v>111</x:v>
      </x:c>
      <x:c r="B117" t="str">
        <x:v>Leverage In Action</x:v>
      </x:c>
      <x:c r="C117" t="str">
        <x:v>@LeverageInAction</x:v>
      </x:c>
      <x:c r="D117" s="26" t="str">
        <x:f>IF(OR(COUNTIF('Current Subscriptions'!$B$7:$B$83,B117)&gt;0,COUNTIF('Current Subscriptions'!$C$7:$C$83,C117)&gt;0),"Yes","No")</x:f>
        <x:v>No</x:v>
      </x:c>
      <x:c r="E117" s="26" t="n">
        <x:f>COUNTIF('Home Feed'!$E$7:$E$235,B117)</x:f>
        <x:v>1</x:v>
      </x:c>
      <x:c r="F117" s="26" t="n">
        <x:f>MINIFS('Home Feed'!$A$7:$A$235,'Home Feed'!$E$7:$E$235,B117)</x:f>
        <x:v>116</x:v>
      </x:c>
      <x:c r="G117" t="str">
        <x:v>Video</x:v>
      </x:c>
      <x:c r="H117" s="27" t="str">
        <x:f>XLOOKUP(B117,'Home Feed'!$E$7:$E$235,'Home Feed'!$C$7:$C$235,"")</x:f>
        <x:v>How I use Coding To Save Time IRL</x:v>
      </x:c>
      <x:c r="I117" s="96" t="str">
        <x:v>https://www.youtube.com/@LeverageInAction</x:v>
      </x:c>
    </x:row>
    <x:row r="118" ht="32" customHeight="1">
      <x:c r="A118" s="26" t="n">
        <x:v>112</x:v>
      </x:c>
      <x:c r="B118" t="str">
        <x:v>Nic Barker</x:v>
      </x:c>
      <x:c r="C118" t="str">
        <x:v>@nicbarkeragain</x:v>
      </x:c>
      <x:c r="D118" s="26" t="str">
        <x:f>IF(OR(COUNTIF('Current Subscriptions'!$B$7:$B$83,B118)&gt;0,COUNTIF('Current Subscriptions'!$C$7:$C$83,C118)&gt;0),"Yes","No")</x:f>
        <x:v>No</x:v>
      </x:c>
      <x:c r="E118" s="26" t="n">
        <x:f>COUNTIF('Home Feed'!$E$7:$E$235,B118)</x:f>
        <x:v>1</x:v>
      </x:c>
      <x:c r="F118" s="26" t="n">
        <x:f>MINIFS('Home Feed'!$A$7:$A$235,'Home Feed'!$E$7:$E$235,B118)</x:f>
        <x:v>117</x:v>
      </x:c>
      <x:c r="G118" t="str">
        <x:v>Video</x:v>
      </x:c>
      <x:c r="H118" s="27" t="str">
        <x:f>XLOOKUP(B118,'Home Feed'!$E$7:$E$235,'Home Feed'!$C$7:$C$235,"")</x:f>
        <x:v>Tips for C Programming</x:v>
      </x:c>
      <x:c r="I118" s="96" t="str">
        <x:v>https://www.youtube.com/@nicbarkeragain</x:v>
      </x:c>
    </x:row>
    <x:row r="119" ht="32" customHeight="1">
      <x:c r="A119" s="26" t="n">
        <x:v>113</x:v>
      </x:c>
      <x:c r="B119" t="str">
        <x:v>Jonathan Blow highlights</x:v>
      </x:c>
      <x:c r="C119" t="str">
        <x:v>@JBH-p5b</x:v>
      </x:c>
      <x:c r="D119" s="26" t="str">
        <x:f>IF(OR(COUNTIF('Current Subscriptions'!$B$7:$B$83,B119)&gt;0,COUNTIF('Current Subscriptions'!$C$7:$C$83,C119)&gt;0),"Yes","No")</x:f>
        <x:v>No</x:v>
      </x:c>
      <x:c r="E119" s="26" t="n">
        <x:f>COUNTIF('Home Feed'!$E$7:$E$235,B119)</x:f>
        <x:v>1</x:v>
      </x:c>
      <x:c r="F119" s="26" t="n">
        <x:f>MINIFS('Home Feed'!$A$7:$A$235,'Home Feed'!$E$7:$E$235,B119)</x:f>
        <x:v>118</x:v>
      </x:c>
      <x:c r="G119" t="str">
        <x:v>Video</x:v>
      </x:c>
      <x:c r="H119" s="27" t="str">
        <x:f>XLOOKUP(B119,'Home Feed'!$E$7:$E$235,'Home Feed'!$C$7:$C$235,"")</x:f>
        <x:v>Jonathan Blow on AI for programming</x:v>
      </x:c>
      <x:c r="I119" s="96" t="str">
        <x:v>https://www.youtube.com/@JBH-p5b</x:v>
      </x:c>
    </x:row>
    <x:row r="120" ht="32" customHeight="1">
      <x:c r="A120" s="26" t="n">
        <x:v>114</x:v>
      </x:c>
      <x:c r="B120" t="str">
        <x:v>Boot dev</x:v>
      </x:c>
      <x:c r="C120" t="str">
        <x:v>@bootdotdev</x:v>
      </x:c>
      <x:c r="D120" s="26" t="str">
        <x:f>IF(OR(COUNTIF('Current Subscriptions'!$B$7:$B$83,B120)&gt;0,COUNTIF('Current Subscriptions'!$C$7:$C$83,C120)&gt;0),"Yes","No")</x:f>
        <x:v>No</x:v>
      </x:c>
      <x:c r="E120" s="26" t="n">
        <x:f>COUNTIF('Home Feed'!$E$7:$E$235,B120)</x:f>
        <x:v>1</x:v>
      </x:c>
      <x:c r="F120" s="26" t="n">
        <x:f>MINIFS('Home Feed'!$A$7:$A$235,'Home Feed'!$E$7:$E$235,B120)</x:f>
        <x:v>121</x:v>
      </x:c>
      <x:c r="G120" t="str">
        <x:v>Video</x:v>
      </x:c>
      <x:c r="H120" s="27" t="str">
        <x:f>XLOOKUP(B120,'Home Feed'!$E$7:$E$235,'Home Feed'!$C$7:$C$235,"")</x:f>
        <x:v>C Programming and Memory Management - Full Course</x:v>
      </x:c>
      <x:c r="I120" s="96" t="str">
        <x:v>https://www.youtube.com/@bootdotdev</x:v>
      </x:c>
    </x:row>
    <x:row r="121" ht="32" customHeight="1">
      <x:c r="A121" s="26" t="n">
        <x:v>115</x:v>
      </x:c>
      <x:c r="B121" t="str">
        <x:v>StuckAtPrototype</x:v>
      </x:c>
      <x:c r="C121" t="str">
        <x:v>@stuckatprototype</x:v>
      </x:c>
      <x:c r="D121" s="26" t="str">
        <x:f>IF(OR(COUNTIF('Current Subscriptions'!$B$7:$B$83,B121)&gt;0,COUNTIF('Current Subscriptions'!$C$7:$C$83,C121)&gt;0),"Yes","No")</x:f>
        <x:v>No</x:v>
      </x:c>
      <x:c r="E121" s="26" t="n">
        <x:f>COUNTIF('Home Feed'!$E$7:$E$235,B121)</x:f>
        <x:v>1</x:v>
      </x:c>
      <x:c r="F121" s="26" t="n">
        <x:f>MINIFS('Home Feed'!$A$7:$A$235,'Home Feed'!$E$7:$E$235,B121)</x:f>
        <x:v>123</x:v>
      </x:c>
      <x:c r="G121" t="str">
        <x:v>Video</x:v>
      </x:c>
      <x:c r="H121" s="27" t="str">
        <x:f>XLOOKUP(B121,'Home Feed'!$E$7:$E$235,'Home Feed'!$C$7:$C$235,"")</x:f>
        <x:v>Do This Before You Solder Anything</x:v>
      </x:c>
      <x:c r="I121" s="96" t="str">
        <x:v>https://www.youtube.com/@stuckatprototype</x:v>
      </x:c>
    </x:row>
    <x:row r="122" ht="32" customHeight="1">
      <x:c r="A122" s="26" t="n">
        <x:v>116</x:v>
      </x:c>
      <x:c r="B122" t="str">
        <x:v>Jeff Geerling</x:v>
      </x:c>
      <x:c r="C122" t="str">
        <x:v>@JeffGeerling</x:v>
      </x:c>
      <x:c r="D122" s="26" t="str">
        <x:f>IF(OR(COUNTIF('Current Subscriptions'!$B$7:$B$83,B122)&gt;0,COUNTIF('Current Subscriptions'!$C$7:$C$83,C122)&gt;0),"Yes","No")</x:f>
        <x:v>No</x:v>
      </x:c>
      <x:c r="E122" s="26" t="n">
        <x:f>COUNTIF('Home Feed'!$E$7:$E$235,B122)</x:f>
        <x:v>1</x:v>
      </x:c>
      <x:c r="F122" s="26" t="n">
        <x:f>MINIFS('Home Feed'!$A$7:$A$235,'Home Feed'!$E$7:$E$235,B122)</x:f>
        <x:v>124</x:v>
      </x:c>
      <x:c r="G122" t="str">
        <x:v>Video</x:v>
      </x:c>
      <x:c r="H122" s="27" t="str">
        <x:f>XLOOKUP(B122,'Home Feed'!$E$7:$E$235,'Home Feed'!$C$7:$C$235,"")</x:f>
        <x:v>This was never a good deal.</x:v>
      </x:c>
      <x:c r="I122" s="96" t="str">
        <x:v>https://www.youtube.com/@JeffGeerling</x:v>
      </x:c>
    </x:row>
    <x:row r="123" ht="32" customHeight="1">
      <x:c r="A123" s="26" t="n">
        <x:v>117</x:v>
      </x:c>
      <x:c r="B123" t="str">
        <x:v>The Sheekey Science Show</x:v>
      </x:c>
      <x:c r="C123" t="str">
        <x:v>@TheSheekeyScienceShow</x:v>
      </x:c>
      <x:c r="D123" s="26" t="str">
        <x:f>IF(OR(COUNTIF('Current Subscriptions'!$B$7:$B$83,B123)&gt;0,COUNTIF('Current Subscriptions'!$C$7:$C$83,C123)&gt;0),"Yes","No")</x:f>
        <x:v>No</x:v>
      </x:c>
      <x:c r="E123" s="26" t="n">
        <x:f>COUNTIF('Home Feed'!$E$7:$E$235,B123)</x:f>
        <x:v>1</x:v>
      </x:c>
      <x:c r="F123" s="26" t="n">
        <x:f>MINIFS('Home Feed'!$A$7:$A$235,'Home Feed'!$E$7:$E$235,B123)</x:f>
        <x:v>126</x:v>
      </x:c>
      <x:c r="G123" t="str">
        <x:v>Video</x:v>
      </x:c>
      <x:c r="H123" s="27" t="str">
        <x:f>XLOOKUP(B123,'Home Feed'!$E$7:$E$235,'Home Feed'!$C$7:$C$235,"")</x:f>
        <x:v>how AI is inventing antibodies — Santiago Mille (Germinal)</x:v>
      </x:c>
      <x:c r="I123" s="96" t="str">
        <x:v>https://www.youtube.com/@TheSheekeyScienceShow</x:v>
      </x:c>
    </x:row>
    <x:row r="124" ht="32" customHeight="1">
      <x:c r="A124" s="26" t="n">
        <x:v>118</x:v>
      </x:c>
      <x:c r="B124" t="str">
        <x:v>WheezyWaiter</x:v>
      </x:c>
      <x:c r="C124" t="str">
        <x:v>@wheezywaiter</x:v>
      </x:c>
      <x:c r="D124" s="26" t="str">
        <x:f>IF(OR(COUNTIF('Current Subscriptions'!$B$7:$B$83,B124)&gt;0,COUNTIF('Current Subscriptions'!$C$7:$C$83,C124)&gt;0),"Yes","No")</x:f>
        <x:v>No</x:v>
      </x:c>
      <x:c r="E124" s="26" t="n">
        <x:f>COUNTIF('Home Feed'!$E$7:$E$235,B124)</x:f>
        <x:v>1</x:v>
      </x:c>
      <x:c r="F124" s="26" t="n">
        <x:f>MINIFS('Home Feed'!$A$7:$A$235,'Home Feed'!$E$7:$E$235,B124)</x:f>
        <x:v>131</x:v>
      </x:c>
      <x:c r="G124" t="str">
        <x:v>Video</x:v>
      </x:c>
      <x:c r="H124" s="27" t="str">
        <x:f>XLOOKUP(B124,'Home Feed'!$E$7:$E$235,'Home Feed'!$C$7:$C$235,"")</x:f>
        <x:v>How the Internet Ruins Your Brain</x:v>
      </x:c>
      <x:c r="I124" s="96" t="str">
        <x:v>https://www.youtube.com/@wheezywaiter</x:v>
      </x:c>
    </x:row>
    <x:row r="125" ht="32" customHeight="1">
      <x:c r="A125" s="26" t="n">
        <x:v>119</x:v>
      </x:c>
      <x:c r="B125" t="str">
        <x:v>gas</x:v>
      </x:c>
      <x:c r="C125" t="str">
        <x:v>@GaspardFran%C3%A7ais</x:v>
      </x:c>
      <x:c r="D125" s="26" t="str">
        <x:f>IF(OR(COUNTIF('Current Subscriptions'!$B$7:$B$83,B125)&gt;0,COUNTIF('Current Subscriptions'!$C$7:$C$83,C125)&gt;0),"Yes","No")</x:f>
        <x:v>No</x:v>
      </x:c>
      <x:c r="E125" s="26" t="n">
        <x:f>COUNTIF('Home Feed'!$E$7:$E$235,B125)</x:f>
        <x:v>1</x:v>
      </x:c>
      <x:c r="F125" s="26" t="n">
        <x:f>MINIFS('Home Feed'!$A$7:$A$235,'Home Feed'!$E$7:$E$235,B125)</x:f>
        <x:v>133</x:v>
      </x:c>
      <x:c r="G125" t="str">
        <x:v>Video</x:v>
      </x:c>
      <x:c r="H125" s="27" t="str">
        <x:f>XLOOKUP(B125,'Home Feed'!$E$7:$E$235,'Home Feed'!$C$7:$C$235,"")</x:f>
        <x:v>Tu peux comprendre cette vidéo en français ?</x:v>
      </x:c>
      <x:c r="I125" s="96" t="str">
        <x:v>https://www.youtube.com/@GaspardFran%C3%A7ais</x:v>
      </x:c>
    </x:row>
    <x:row r="126" ht="32" customHeight="1">
      <x:c r="A126" s="26" t="n">
        <x:v>120</x:v>
      </x:c>
      <x:c r="B126" t="str">
        <x:v>CaptiveAire</x:v>
      </x:c>
      <x:c r="C126" t="str">
        <x:v>@CAPTIVEAIRE</x:v>
      </x:c>
      <x:c r="D126" s="26" t="str">
        <x:f>IF(OR(COUNTIF('Current Subscriptions'!$B$7:$B$83,B126)&gt;0,COUNTIF('Current Subscriptions'!$C$7:$C$83,C126)&gt;0),"Yes","No")</x:f>
        <x:v>No</x:v>
      </x:c>
      <x:c r="E126" s="26" t="n">
        <x:f>COUNTIF('Home Feed'!$E$7:$E$235,B126)</x:f>
        <x:v>1</x:v>
      </x:c>
      <x:c r="F126" s="26" t="n">
        <x:f>MINIFS('Home Feed'!$A$7:$A$235,'Home Feed'!$E$7:$E$235,B126)</x:f>
        <x:v>134</x:v>
      </x:c>
      <x:c r="G126" t="str">
        <x:v>Video</x:v>
      </x:c>
      <x:c r="H126" s="27" t="str">
        <x:f>XLOOKUP(B126,'Home Feed'!$E$7:$E$235,'Home Feed'!$C$7:$C$235,"")</x:f>
        <x:v>Digital Electronics - The First Video YOU Should Watch</x:v>
      </x:c>
      <x:c r="I126" s="96" t="str">
        <x:v>https://www.youtube.com/@CAPTIVEAIRE</x:v>
      </x:c>
    </x:row>
    <x:row r="127" ht="32" customHeight="1">
      <x:c r="A127" s="26" t="n">
        <x:v>121</x:v>
      </x:c>
      <x:c r="B127" t="str">
        <x:v>Build Core</x:v>
      </x:c>
      <x:c r="C127" t="str">
        <x:v>@BuildCore</x:v>
      </x:c>
      <x:c r="D127" s="26" t="str">
        <x:f>IF(OR(COUNTIF('Current Subscriptions'!$B$7:$B$83,B127)&gt;0,COUNTIF('Current Subscriptions'!$C$7:$C$83,C127)&gt;0),"Yes","No")</x:f>
        <x:v>No</x:v>
      </x:c>
      <x:c r="E127" s="26" t="n">
        <x:f>COUNTIF('Home Feed'!$E$7:$E$235,B127)</x:f>
        <x:v>1</x:v>
      </x:c>
      <x:c r="F127" s="26" t="n">
        <x:f>MINIFS('Home Feed'!$A$7:$A$235,'Home Feed'!$E$7:$E$235,B127)</x:f>
        <x:v>135</x:v>
      </x:c>
      <x:c r="G127" t="str">
        <x:v>Video</x:v>
      </x:c>
      <x:c r="H127" s="27" t="str">
        <x:f>XLOOKUP(B127,'Home Feed'!$E$7:$E$235,'Home Feed'!$C$7:$C$235,"")</x:f>
        <x:v>Why Missouri is Spending $3B on One Road</x:v>
      </x:c>
      <x:c r="I127" s="96" t="str">
        <x:v>https://www.youtube.com/@BuildCore</x:v>
      </x:c>
    </x:row>
    <x:row r="128" ht="32" customHeight="1">
      <x:c r="A128" s="26" t="n">
        <x:v>122</x:v>
      </x:c>
      <x:c r="B128" t="str">
        <x:v>fosterthepeopleVEVO</x:v>
      </x:c>
      <x:c r="C128" t="str">
        <x:v>@fosterthepeopleVEVO</x:v>
      </x:c>
      <x:c r="D128" s="26" t="str">
        <x:f>IF(OR(COUNTIF('Current Subscriptions'!$B$7:$B$83,B128)&gt;0,COUNTIF('Current Subscriptions'!$C$7:$C$83,C128)&gt;0),"Yes","No")</x:f>
        <x:v>No</x:v>
      </x:c>
      <x:c r="E128" s="26" t="n">
        <x:f>COUNTIF('Home Feed'!$E$7:$E$235,B128)</x:f>
        <x:v>1</x:v>
      </x:c>
      <x:c r="F128" s="26" t="n">
        <x:f>MINIFS('Home Feed'!$A$7:$A$235,'Home Feed'!$E$7:$E$235,B128)</x:f>
        <x:v>138</x:v>
      </x:c>
      <x:c r="G128" t="str">
        <x:v>Mix</x:v>
      </x:c>
      <x:c r="H128" s="27" t="str">
        <x:f>XLOOKUP(B128,'Home Feed'!$E$7:$E$235,'Home Feed'!$C$7:$C$235,"")</x:f>
        <x:v>Mix - Electronic music</x:v>
      </x:c>
      <x:c r="I128" s="96" t="str">
        <x:v>https://www.youtube.com/@fosterthepeopleVEVO</x:v>
      </x:c>
    </x:row>
    <x:row r="129" ht="32" customHeight="1">
      <x:c r="A129" s="26" t="n">
        <x:v>123</x:v>
      </x:c>
      <x:c r="B129" t="str">
        <x:v>WIRED</x:v>
      </x:c>
      <x:c r="C129" t="str">
        <x:v>@WIRED</x:v>
      </x:c>
      <x:c r="D129" s="26" t="str">
        <x:f>IF(OR(COUNTIF('Current Subscriptions'!$B$7:$B$83,B129)&gt;0,COUNTIF('Current Subscriptions'!$C$7:$C$83,C129)&gt;0),"Yes","No")</x:f>
        <x:v>No</x:v>
      </x:c>
      <x:c r="E129" s="26" t="n">
        <x:f>COUNTIF('Home Feed'!$E$7:$E$235,B129)</x:f>
        <x:v>1</x:v>
      </x:c>
      <x:c r="F129" s="26" t="n">
        <x:f>MINIFS('Home Feed'!$A$7:$A$235,'Home Feed'!$E$7:$E$235,B129)</x:f>
        <x:v>139</x:v>
      </x:c>
      <x:c r="G129" t="str">
        <x:v>Video</x:v>
      </x:c>
      <x:c r="H129" s="27" t="str">
        <x:f>XLOOKUP(B129,'Home Feed'!$E$7:$E$235,'Home Feed'!$C$7:$C$235,"")</x:f>
        <x:v>Professor Answers Coding Questions | Tech Support | WIRED</x:v>
      </x:c>
      <x:c r="I129" s="96" t="str">
        <x:v>https://www.youtube.com/@WIRED</x:v>
      </x:c>
    </x:row>
    <x:row r="130" ht="32" customHeight="1">
      <x:c r="A130" s="26" t="n">
        <x:v>124</x:v>
      </x:c>
      <x:c r="B130" t="str">
        <x:v>Scrapping Scotland</x:v>
      </x:c>
      <x:c r="C130" t="str">
        <x:v>@ScrappingScotland</x:v>
      </x:c>
      <x:c r="D130" s="26" t="str">
        <x:f>IF(OR(COUNTIF('Current Subscriptions'!$B$7:$B$83,B130)&gt;0,COUNTIF('Current Subscriptions'!$C$7:$C$83,C130)&gt;0),"Yes","No")</x:f>
        <x:v>No</x:v>
      </x:c>
      <x:c r="E130" s="26" t="n">
        <x:f>COUNTIF('Home Feed'!$E$7:$E$235,B130)</x:f>
        <x:v>1</x:v>
      </x:c>
      <x:c r="F130" s="26" t="n">
        <x:f>MINIFS('Home Feed'!$A$7:$A$235,'Home Feed'!$E$7:$E$235,B130)</x:f>
        <x:v>140</x:v>
      </x:c>
      <x:c r="G130" t="str">
        <x:v>Video</x:v>
      </x:c>
      <x:c r="H130" s="27" t="str">
        <x:f>XLOOKUP(B130,'Home Feed'!$E$7:$E$235,'Home Feed'!$C$7:$C$235,"")</x:f>
        <x:v>A scrappers guide to micro scrapping - precious metals from ewaste</x:v>
      </x:c>
      <x:c r="I130" s="96" t="str">
        <x:v>https://www.youtube.com/@ScrappingScotland</x:v>
      </x:c>
    </x:row>
    <x:row r="131" ht="32" customHeight="1">
      <x:c r="A131" s="26" t="n">
        <x:v>125</x:v>
      </x:c>
      <x:c r="B131" t="str">
        <x:v>And Reas</x:v>
      </x:c>
      <x:c r="C131" t="str">
        <x:v>@AndReas-td8jv</x:v>
      </x:c>
      <x:c r="D131" s="26" t="str">
        <x:f>IF(OR(COUNTIF('Current Subscriptions'!$B$7:$B$83,B131)&gt;0,COUNTIF('Current Subscriptions'!$C$7:$C$83,C131)&gt;0),"Yes","No")</x:f>
        <x:v>No</x:v>
      </x:c>
      <x:c r="E131" s="26" t="n">
        <x:f>COUNTIF('Home Feed'!$E$7:$E$235,B131)</x:f>
        <x:v>1</x:v>
      </x:c>
      <x:c r="F131" s="26" t="n">
        <x:f>MINIFS('Home Feed'!$A$7:$A$235,'Home Feed'!$E$7:$E$235,B131)</x:f>
        <x:v>141</x:v>
      </x:c>
      <x:c r="G131" t="str">
        <x:v>Video</x:v>
      </x:c>
      <x:c r="H131" s="27" t="str">
        <x:f>XLOOKUP(B131,'Home Feed'!$E$7:$E$235,'Home Feed'!$C$7:$C$235,"")</x:f>
        <x:v>Red Hot Chili Peppers Budokan 2000 (remastered)</x:v>
      </x:c>
      <x:c r="I131" s="96" t="str">
        <x:v>https://www.youtube.com/@AndReas-td8jv</x:v>
      </x:c>
    </x:row>
    <x:row r="132" ht="32" customHeight="1">
      <x:c r="A132" s="26" t="n">
        <x:v>126</x:v>
      </x:c>
      <x:c r="B132" t="str">
        <x:v>Daft Punk</x:v>
      </x:c>
      <x:c r="C132" t="str">
        <x:v>@daftpunk</x:v>
      </x:c>
      <x:c r="D132" s="26" t="str">
        <x:f>IF(OR(COUNTIF('Current Subscriptions'!$B$7:$B$83,B132)&gt;0,COUNTIF('Current Subscriptions'!$C$7:$C$83,C132)&gt;0),"Yes","No")</x:f>
        <x:v>No</x:v>
      </x:c>
      <x:c r="E132" s="26" t="n">
        <x:f>COUNTIF('Home Feed'!$E$7:$E$235,B132)</x:f>
        <x:v>1</x:v>
      </x:c>
      <x:c r="F132" s="26" t="n">
        <x:f>MINIFS('Home Feed'!$A$7:$A$235,'Home Feed'!$E$7:$E$235,B132)</x:f>
        <x:v>142</x:v>
      </x:c>
      <x:c r="G132" t="str">
        <x:v>Mix</x:v>
      </x:c>
      <x:c r="H132" s="27" t="str">
        <x:f>XLOOKUP(B132,'Home Feed'!$E$7:$E$235,'Home Feed'!$C$7:$C$235,"")</x:f>
        <x:v>Mix - Daft Punk - Harder, Better, Faster, Stronger (Official Video)</x:v>
      </x:c>
      <x:c r="I132" s="96" t="str">
        <x:v>https://www.youtube.com/@daftpunk</x:v>
      </x:c>
    </x:row>
    <x:row r="133" ht="32" customHeight="1">
      <x:c r="A133" s="26" t="n">
        <x:v>127</x:v>
      </x:c>
      <x:c r="B133" t="str">
        <x:v>gesus8</x:v>
      </x:c>
      <x:c r="C133" t="str">
        <x:v>@gesus8</x:v>
      </x:c>
      <x:c r="D133" s="26" t="str">
        <x:f>IF(OR(COUNTIF('Current Subscriptions'!$B$7:$B$83,B133)&gt;0,COUNTIF('Current Subscriptions'!$C$7:$C$83,C133)&gt;0),"Yes","No")</x:f>
        <x:v>No</x:v>
      </x:c>
      <x:c r="E133" s="26" t="n">
        <x:f>COUNTIF('Home Feed'!$E$7:$E$235,B133)</x:f>
        <x:v>1</x:v>
      </x:c>
      <x:c r="F133" s="26" t="n">
        <x:f>MINIFS('Home Feed'!$A$7:$A$235,'Home Feed'!$E$7:$E$235,B133)</x:f>
        <x:v>143</x:v>
      </x:c>
      <x:c r="G133" t="str">
        <x:v>Video</x:v>
      </x:c>
      <x:c r="H133" s="27" t="str">
        <x:f>XLOOKUP(B133,'Home Feed'!$E$7:$E$235,'Home Feed'!$C$7:$C$235,"")</x:f>
        <x:v>morning routine house mix</x:v>
      </x:c>
      <x:c r="I133" s="96" t="str">
        <x:v>https://www.youtube.com/@gesus8</x:v>
      </x:c>
    </x:row>
    <x:row r="134" ht="32" customHeight="1">
      <x:c r="A134" s="26" t="n">
        <x:v>128</x:v>
      </x:c>
      <x:c r="B134" t="str">
        <x:v>The Cherno</x:v>
      </x:c>
      <x:c r="C134" t="str">
        <x:v>@TheCherno</x:v>
      </x:c>
      <x:c r="D134" s="26" t="str">
        <x:f>IF(OR(COUNTIF('Current Subscriptions'!$B$7:$B$83,B134)&gt;0,COUNTIF('Current Subscriptions'!$C$7:$C$83,C134)&gt;0),"Yes","No")</x:f>
        <x:v>No</x:v>
      </x:c>
      <x:c r="E134" s="26" t="n">
        <x:f>COUNTIF('Home Feed'!$E$7:$E$235,B134)</x:f>
        <x:v>1</x:v>
      </x:c>
      <x:c r="F134" s="26" t="n">
        <x:f>MINIFS('Home Feed'!$A$7:$A$235,'Home Feed'!$E$7:$E$235,B134)</x:f>
        <x:v>145</x:v>
      </x:c>
      <x:c r="G134" t="str">
        <x:v>Video</x:v>
      </x:c>
      <x:c r="H134" s="27" t="str">
        <x:f>XLOOKUP(B134,'Home Feed'!$E$7:$E$235,'Home Feed'!$C$7:$C$235,"")</x:f>
        <x:v>Welcome to C++</x:v>
      </x:c>
      <x:c r="I134" s="96" t="str">
        <x:v>https://www.youtube.com/@TheCherno</x:v>
      </x:c>
    </x:row>
    <x:row r="135" ht="32" customHeight="1">
      <x:c r="A135" s="26" t="n">
        <x:v>129</x:v>
      </x:c>
      <x:c r="B135" t="str">
        <x:v>Mark Manson</x:v>
      </x:c>
      <x:c r="C135" t="str">
        <x:v>@IAmMarkManson</x:v>
      </x:c>
      <x:c r="D135" s="26" t="str">
        <x:f>IF(OR(COUNTIF('Current Subscriptions'!$B$7:$B$83,B135)&gt;0,COUNTIF('Current Subscriptions'!$C$7:$C$83,C135)&gt;0),"Yes","No")</x:f>
        <x:v>No</x:v>
      </x:c>
      <x:c r="E135" s="26" t="n">
        <x:f>COUNTIF('Home Feed'!$E$7:$E$235,B135)</x:f>
        <x:v>1</x:v>
      </x:c>
      <x:c r="F135" s="26" t="n">
        <x:f>MINIFS('Home Feed'!$A$7:$A$235,'Home Feed'!$E$7:$E$235,B135)</x:f>
        <x:v>146</x:v>
      </x:c>
      <x:c r="G135" t="str">
        <x:v>Video</x:v>
      </x:c>
      <x:c r="H135" s="27" t="str">
        <x:f>XLOOKUP(B135,'Home Feed'!$E$7:$E$235,'Home Feed'!$C$7:$C$235,"")</x:f>
        <x:v>Finding Your Purpose, Solved</x:v>
      </x:c>
      <x:c r="I135" s="96" t="str">
        <x:v>https://www.youtube.com/@IAmMarkManson</x:v>
      </x:c>
    </x:row>
    <x:row r="136" ht="32" customHeight="1">
      <x:c r="A136" s="26" t="n">
        <x:v>130</x:v>
      </x:c>
      <x:c r="B136" t="str">
        <x:v>nobonoko</x:v>
      </x:c>
      <x:c r="C136" t="str">
        <x:v>@nobonokomusic</x:v>
      </x:c>
      <x:c r="D136" s="26" t="str">
        <x:f>IF(OR(COUNTIF('Current Subscriptions'!$B$7:$B$83,B136)&gt;0,COUNTIF('Current Subscriptions'!$C$7:$C$83,C136)&gt;0),"Yes","No")</x:f>
        <x:v>No</x:v>
      </x:c>
      <x:c r="E136" s="26" t="n">
        <x:f>COUNTIF('Home Feed'!$E$7:$E$235,B136)</x:f>
        <x:v>1</x:v>
      </x:c>
      <x:c r="F136" s="26" t="n">
        <x:f>MINIFS('Home Feed'!$A$7:$A$235,'Home Feed'!$E$7:$E$235,B136)</x:f>
        <x:v>147</x:v>
      </x:c>
      <x:c r="G136" t="str">
        <x:v>Video</x:v>
      </x:c>
      <x:c r="H136" s="27" t="str">
        <x:f>XLOOKUP(B136,'Home Feed'!$E$7:$E$235,'Home Feed'!$C$7:$C$235,"")</x:f>
        <x:v>nobonoko - Music For Animal Cafés [FULL]</x:v>
      </x:c>
      <x:c r="I136" s="96" t="str">
        <x:v>https://www.youtube.com/@nobonokomusic</x:v>
      </x:c>
    </x:row>
    <x:row r="137" ht="32" customHeight="1">
      <x:c r="A137" s="26" t="n">
        <x:v>131</x:v>
      </x:c>
      <x:c r="B137" t="str">
        <x:v>Ryan Peterman</x:v>
      </x:c>
      <x:c r="C137" t="str">
        <x:v>@RyanLPeterman</x:v>
      </x:c>
      <x:c r="D137" s="26" t="str">
        <x:f>IF(OR(COUNTIF('Current Subscriptions'!$B$7:$B$83,B137)&gt;0,COUNTIF('Current Subscriptions'!$C$7:$C$83,C137)&gt;0),"Yes","No")</x:f>
        <x:v>No</x:v>
      </x:c>
      <x:c r="E137" s="26" t="n">
        <x:f>COUNTIF('Home Feed'!$E$7:$E$235,B137)</x:f>
        <x:v>1</x:v>
      </x:c>
      <x:c r="F137" s="26" t="n">
        <x:f>MINIFS('Home Feed'!$A$7:$A$235,'Home Feed'!$E$7:$E$235,B137)</x:f>
        <x:v>148</x:v>
      </x:c>
      <x:c r="G137" t="str">
        <x:v>Video</x:v>
      </x:c>
      <x:c r="H137" s="27" t="str">
        <x:f>XLOOKUP(B137,'Home Feed'!$E$7:$E$235,'Home Feed'!$C$7:$C$235,"")</x:f>
        <x:v>Harvard Professor: CS50, What Matters More Than Programming Now, Lecturing Well | David J Malan</x:v>
      </x:c>
      <x:c r="I137" s="96" t="str">
        <x:v>https://www.youtube.com/@RyanLPeterman</x:v>
      </x:c>
    </x:row>
    <x:row r="138" ht="32" customHeight="1">
      <x:c r="A138" s="26" t="n">
        <x:v>132</x:v>
      </x:c>
      <x:c r="B138" t="str">
        <x:v>Joe Hudson | Art of Accomplishment</x:v>
      </x:c>
      <x:c r="C138" t="str">
        <x:v>@ArtofAccomplishment</x:v>
      </x:c>
      <x:c r="D138" s="26" t="str">
        <x:f>IF(OR(COUNTIF('Current Subscriptions'!$B$7:$B$83,B138)&gt;0,COUNTIF('Current Subscriptions'!$C$7:$C$83,C138)&gt;0),"Yes","No")</x:f>
        <x:v>No</x:v>
      </x:c>
      <x:c r="E138" s="26" t="n">
        <x:f>COUNTIF('Home Feed'!$E$7:$E$235,B138)</x:f>
        <x:v>1</x:v>
      </x:c>
      <x:c r="F138" s="26" t="n">
        <x:f>MINIFS('Home Feed'!$A$7:$A$235,'Home Feed'!$E$7:$E$235,B138)</x:f>
        <x:v>153</x:v>
      </x:c>
      <x:c r="G138" t="str">
        <x:v>Video</x:v>
      </x:c>
      <x:c r="H138" s="27" t="str">
        <x:f>XLOOKUP(B138,'Home Feed'!$E$7:$E$235,'Home Feed'!$C$7:$C$235,"")</x:f>
        <x:v>How You End a Relationship Shapes What Comes Next</x:v>
      </x:c>
      <x:c r="I138" s="96" t="str">
        <x:v>https://www.youtube.com/@ArtofAccomplishment</x:v>
      </x:c>
    </x:row>
    <x:row r="139" ht="32" customHeight="1">
      <x:c r="A139" s="26" t="n">
        <x:v>133</x:v>
      </x:c>
      <x:c r="B139" t="str">
        <x:v>Tim Ferriss</x:v>
      </x:c>
      <x:c r="C139" t="str">
        <x:v>@timferriss</x:v>
      </x:c>
      <x:c r="D139" s="26" t="str">
        <x:f>IF(OR(COUNTIF('Current Subscriptions'!$B$7:$B$83,B139)&gt;0,COUNTIF('Current Subscriptions'!$C$7:$C$83,C139)&gt;0),"Yes","No")</x:f>
        <x:v>No</x:v>
      </x:c>
      <x:c r="E139" s="26" t="n">
        <x:f>COUNTIF('Home Feed'!$E$7:$E$235,B139)</x:f>
        <x:v>1</x:v>
      </x:c>
      <x:c r="F139" s="26" t="n">
        <x:f>MINIFS('Home Feed'!$A$7:$A$235,'Home Feed'!$E$7:$E$235,B139)</x:f>
        <x:v>155</x:v>
      </x:c>
      <x:c r="G139" t="str">
        <x:v>Video</x:v>
      </x:c>
      <x:c r="H139" s="27" t="str">
        <x:f>XLOOKUP(B139,'Home Feed'!$E$7:$E$235,'Home Feed'!$C$7:$C$235,"")</x:f>
        <x:v>Q&amp;A with Tim — The Art of Male Friendship, Reinvention in The Age of AI, &amp; More</x:v>
      </x:c>
      <x:c r="I139" s="96" t="str">
        <x:v>https://www.youtube.com/@timferriss</x:v>
      </x:c>
    </x:row>
    <x:row r="140" ht="32" customHeight="1">
      <x:c r="A140" s="26" t="n">
        <x:v>134</x:v>
      </x:c>
      <x:c r="B140" t="str">
        <x:v>Kalaido</x:v>
      </x:c>
      <x:c r="C140" t="str">
        <x:v>@kalaidomusic</x:v>
      </x:c>
      <x:c r="D140" s="26" t="str">
        <x:f>IF(OR(COUNTIF('Current Subscriptions'!$B$7:$B$83,B140)&gt;0,COUNTIF('Current Subscriptions'!$C$7:$C$83,C140)&gt;0),"Yes","No")</x:f>
        <x:v>No</x:v>
      </x:c>
      <x:c r="E140" s="26" t="n">
        <x:f>COUNTIF('Home Feed'!$E$7:$E$235,B140)</x:f>
        <x:v>1</x:v>
      </x:c>
      <x:c r="F140" s="26" t="n">
        <x:f>MINIFS('Home Feed'!$A$7:$A$235,'Home Feed'!$E$7:$E$235,B140)</x:f>
        <x:v>156</x:v>
      </x:c>
      <x:c r="G140" t="str">
        <x:v>Mix</x:v>
      </x:c>
      <x:c r="H140" s="27" t="str">
        <x:f>XLOOKUP(B140,'Home Feed'!$E$7:$E$235,'Home Feed'!$C$7:$C$235,"")</x:f>
        <x:v>Mix - kalaido - hanging lanterns</x:v>
      </x:c>
      <x:c r="I140" s="96" t="str">
        <x:v>https://www.youtube.com/@kalaidomusic</x:v>
      </x:c>
    </x:row>
    <x:row r="141" ht="32" customHeight="1">
      <x:c r="A141" s="26" t="n">
        <x:v>135</x:v>
      </x:c>
      <x:c r="B141" t="str">
        <x:v>Podel IRL</x:v>
      </x:c>
      <x:c r="C141" t="str">
        <x:v>@podel-irl</x:v>
      </x:c>
      <x:c r="D141" s="26" t="str">
        <x:f>IF(OR(COUNTIF('Current Subscriptions'!$B$7:$B$83,B141)&gt;0,COUNTIF('Current Subscriptions'!$C$7:$C$83,C141)&gt;0),"Yes","No")</x:f>
        <x:v>No</x:v>
      </x:c>
      <x:c r="E141" s="26" t="n">
        <x:f>COUNTIF('Home Feed'!$E$7:$E$235,B141)</x:f>
        <x:v>1</x:v>
      </x:c>
      <x:c r="F141" s="26" t="n">
        <x:f>MINIFS('Home Feed'!$A$7:$A$235,'Home Feed'!$E$7:$E$235,B141)</x:f>
        <x:v>157</x:v>
      </x:c>
      <x:c r="G141" t="str">
        <x:v>Video</x:v>
      </x:c>
      <x:c r="H141" s="27" t="str">
        <x:f>XLOOKUP(B141,'Home Feed'!$E$7:$E$235,'Home Feed'!$C$7:$C$235,"")</x:f>
        <x:v>Spreading Cheese on DDR2 RAM</x:v>
      </x:c>
      <x:c r="I141" s="96" t="str">
        <x:v>https://www.youtube.com/@podel-irl</x:v>
      </x:c>
    </x:row>
    <x:row r="142" ht="32" customHeight="1">
      <x:c r="A142" s="26" t="n">
        <x:v>136</x:v>
      </x:c>
      <x:c r="B142" t="str">
        <x:v>Plants in Jars</x:v>
      </x:c>
      <x:c r="C142" t="str">
        <x:v>@plantsinjars</x:v>
      </x:c>
      <x:c r="D142" s="26" t="str">
        <x:f>IF(OR(COUNTIF('Current Subscriptions'!$B$7:$B$83,B142)&gt;0,COUNTIF('Current Subscriptions'!$C$7:$C$83,C142)&gt;0),"Yes","No")</x:f>
        <x:v>No</x:v>
      </x:c>
      <x:c r="E142" s="26" t="n">
        <x:f>COUNTIF('Home Feed'!$E$7:$E$235,B142)</x:f>
        <x:v>1</x:v>
      </x:c>
      <x:c r="F142" s="26" t="n">
        <x:f>MINIFS('Home Feed'!$A$7:$A$235,'Home Feed'!$E$7:$E$235,B142)</x:f>
        <x:v>158</x:v>
      </x:c>
      <x:c r="G142" t="str">
        <x:v>Video</x:v>
      </x:c>
      <x:c r="H142" s="27" t="str">
        <x:f>XLOOKUP(B142,'Home Feed'!$E$7:$E$235,'Home Feed'!$C$7:$C$235,"")</x:f>
        <x:v>Scientists Are Making Seeds Without Plants</x:v>
      </x:c>
      <x:c r="I142" s="96" t="str">
        <x:v>https://www.youtube.com/@plantsinjars</x:v>
      </x:c>
    </x:row>
    <x:row r="143" ht="32" customHeight="1">
      <x:c r="A143" s="26" t="n">
        <x:v>137</x:v>
      </x:c>
      <x:c r="B143" t="str">
        <x:v>PsychToons</x:v>
      </x:c>
      <x:c r="C143" t="str">
        <x:v>@PsychToonsHQ</x:v>
      </x:c>
      <x:c r="D143" s="26" t="str">
        <x:f>IF(OR(COUNTIF('Current Subscriptions'!$B$7:$B$83,B143)&gt;0,COUNTIF('Current Subscriptions'!$C$7:$C$83,C143)&gt;0),"Yes","No")</x:f>
        <x:v>No</x:v>
      </x:c>
      <x:c r="E143" s="26" t="n">
        <x:f>COUNTIF('Home Feed'!$E$7:$E$235,B143)</x:f>
        <x:v>1</x:v>
      </x:c>
      <x:c r="F143" s="26" t="n">
        <x:f>MINIFS('Home Feed'!$A$7:$A$235,'Home Feed'!$E$7:$E$235,B143)</x:f>
        <x:v>159</x:v>
      </x:c>
      <x:c r="G143" t="str">
        <x:v>Video</x:v>
      </x:c>
      <x:c r="H143" s="27" t="str">
        <x:f>XLOOKUP(B143,'Home Feed'!$E$7:$E$235,'Home Feed'!$C$7:$C$235,"")</x:f>
        <x:v>Psychology of Polymaths: Why Having Multiple Interests Is an Unfair Advantage</x:v>
      </x:c>
      <x:c r="I143" s="96" t="str">
        <x:v>https://www.youtube.com/@PsychToonsHQ</x:v>
      </x:c>
    </x:row>
    <x:row r="144" ht="32" customHeight="1">
      <x:c r="A144" s="26" t="n">
        <x:v>138</x:v>
      </x:c>
      <x:c r="B144" t="str">
        <x:v>Molly Rocket</x:v>
      </x:c>
      <x:c r="C144" t="str">
        <x:v>@MollyRocket</x:v>
      </x:c>
      <x:c r="D144" s="26" t="str">
        <x:f>IF(OR(COUNTIF('Current Subscriptions'!$B$7:$B$83,B144)&gt;0,COUNTIF('Current Subscriptions'!$C$7:$C$83,C144)&gt;0),"Yes","No")</x:f>
        <x:v>No</x:v>
      </x:c>
      <x:c r="E144" s="26" t="n">
        <x:f>COUNTIF('Home Feed'!$E$7:$E$235,B144)</x:f>
        <x:v>1</x:v>
      </x:c>
      <x:c r="F144" s="26" t="n">
        <x:f>MINIFS('Home Feed'!$A$7:$A$235,'Home Feed'!$E$7:$E$235,B144)</x:f>
        <x:v>161</x:v>
      </x:c>
      <x:c r="G144" t="str">
        <x:v>Video</x:v>
      </x:c>
      <x:c r="H144" s="27" t="str">
        <x:f>XLOOKUP(B144,'Home Feed'!$E$7:$E$235,'Home Feed'!$C$7:$C$235,"")</x:f>
        <x:v>The Pit of Success - An Interview with Rico Mariani</x:v>
      </x:c>
      <x:c r="I144" s="96" t="str">
        <x:v>https://www.youtube.com/@MollyRocket</x:v>
      </x:c>
    </x:row>
    <x:row r="145" ht="32" customHeight="1">
      <x:c r="A145" s="26" t="n">
        <x:v>139</x:v>
      </x:c>
      <x:c r="B145" t="str">
        <x:v>ParkNotes</x:v>
      </x:c>
      <x:c r="C145" t="str">
        <x:v>@ParkerNotes</x:v>
      </x:c>
      <x:c r="D145" s="26" t="str">
        <x:f>IF(OR(COUNTIF('Current Subscriptions'!$B$7:$B$83,B145)&gt;0,COUNTIF('Current Subscriptions'!$C$7:$C$83,C145)&gt;0),"Yes","No")</x:f>
        <x:v>No</x:v>
      </x:c>
      <x:c r="E145" s="26" t="n">
        <x:f>COUNTIF('Home Feed'!$E$7:$E$235,B145)</x:f>
        <x:v>1</x:v>
      </x:c>
      <x:c r="F145" s="26" t="n">
        <x:f>MINIFS('Home Feed'!$A$7:$A$235,'Home Feed'!$E$7:$E$235,B145)</x:f>
        <x:v>162</x:v>
      </x:c>
      <x:c r="G145" t="str">
        <x:v>Video</x:v>
      </x:c>
      <x:c r="H145" s="27" t="str">
        <x:f>XLOOKUP(B145,'Home Feed'!$E$7:$E$235,'Home Feed'!$C$7:$C$235,"")</x:f>
        <x:v>How to Be a Renaissance Man (or Woman) in 2026</x:v>
      </x:c>
      <x:c r="I145" s="96" t="str">
        <x:v>https://www.youtube.com/@ParkerNotes</x:v>
      </x:c>
    </x:row>
    <x:row r="146" ht="32" customHeight="1">
      <x:c r="A146" s="26" t="n">
        <x:v>140</x:v>
      </x:c>
      <x:c r="B146" t="str">
        <x:v>Nneka Julia</x:v>
      </x:c>
      <x:c r="C146" t="str">
        <x:v>@nnekaj</x:v>
      </x:c>
      <x:c r="D146" s="26" t="str">
        <x:f>IF(OR(COUNTIF('Current Subscriptions'!$B$7:$B$83,B146)&gt;0,COUNTIF('Current Subscriptions'!$C$7:$C$83,C146)&gt;0),"Yes","No")</x:f>
        <x:v>No</x:v>
      </x:c>
      <x:c r="E146" s="26" t="n">
        <x:f>COUNTIF('Home Feed'!$E$7:$E$235,B146)</x:f>
        <x:v>1</x:v>
      </x:c>
      <x:c r="F146" s="26" t="n">
        <x:f>MINIFS('Home Feed'!$A$7:$A$235,'Home Feed'!$E$7:$E$235,B146)</x:f>
        <x:v>163</x:v>
      </x:c>
      <x:c r="G146" t="str">
        <x:v>Video</x:v>
      </x:c>
      <x:c r="H146" s="27" t="str">
        <x:f>XLOOKUP(B146,'Home Feed'!$E$7:$E$235,'Home Feed'!$C$7:$C$235,"")</x:f>
        <x:v>It's been done before, but not by YOU.</x:v>
      </x:c>
      <x:c r="I146" s="96" t="str">
        <x:v>https://www.youtube.com/@nnekaj</x:v>
      </x:c>
    </x:row>
    <x:row r="147" ht="32" customHeight="1">
      <x:c r="A147" s="26" t="n">
        <x:v>141</x:v>
      </x:c>
      <x:c r="B147" t="str">
        <x:v>Tin Man Scrapper</x:v>
      </x:c>
      <x:c r="C147" t="str">
        <x:v>@TinManScrapper</x:v>
      </x:c>
      <x:c r="D147" s="26" t="str">
        <x:f>IF(OR(COUNTIF('Current Subscriptions'!$B$7:$B$83,B147)&gt;0,COUNTIF('Current Subscriptions'!$C$7:$C$83,C147)&gt;0),"Yes","No")</x:f>
        <x:v>No</x:v>
      </x:c>
      <x:c r="E147" s="26" t="n">
        <x:f>COUNTIF('Home Feed'!$E$7:$E$235,B147)</x:f>
        <x:v>1</x:v>
      </x:c>
      <x:c r="F147" s="26" t="n">
        <x:f>MINIFS('Home Feed'!$A$7:$A$235,'Home Feed'!$E$7:$E$235,B147)</x:f>
        <x:v>164</x:v>
      </x:c>
      <x:c r="G147" t="str">
        <x:v>Video</x:v>
      </x:c>
      <x:c r="H147" s="27" t="str">
        <x:f>XLOOKUP(B147,'Home Feed'!$E$7:$E$235,'Home Feed'!$C$7:$C$235,"")</x:f>
        <x:v>Scrapping for SILVER. It’s everywhere and it’s free!</x:v>
      </x:c>
      <x:c r="I147" s="96" t="str">
        <x:v>https://www.youtube.com/@TinManScrapper</x:v>
      </x:c>
    </x:row>
    <x:row r="148" ht="32" customHeight="1">
      <x:c r="A148" s="26" t="n">
        <x:v>142</x:v>
      </x:c>
      <x:c r="B148" t="str">
        <x:v>Derek Banas</x:v>
      </x:c>
      <x:c r="C148" t="str">
        <x:v>@derekbanas</x:v>
      </x:c>
      <x:c r="D148" s="26" t="str">
        <x:f>IF(OR(COUNTIF('Current Subscriptions'!$B$7:$B$83,B148)&gt;0,COUNTIF('Current Subscriptions'!$C$7:$C$83,C148)&gt;0),"Yes","No")</x:f>
        <x:v>No</x:v>
      </x:c>
      <x:c r="E148" s="26" t="n">
        <x:f>COUNTIF('Home Feed'!$E$7:$E$235,B148)</x:f>
        <x:v>1</x:v>
      </x:c>
      <x:c r="F148" s="26" t="n">
        <x:f>MINIFS('Home Feed'!$A$7:$A$235,'Home Feed'!$E$7:$E$235,B148)</x:f>
        <x:v>165</x:v>
      </x:c>
      <x:c r="G148" t="str">
        <x:v>Video</x:v>
      </x:c>
      <x:c r="H148" s="27" t="str">
        <x:f>XLOOKUP(B148,'Home Feed'!$E$7:$E$235,'Home Feed'!$C$7:$C$235,"")</x:f>
        <x:v>Why I Came Back</x:v>
      </x:c>
      <x:c r="I148" s="96" t="str">
        <x:v>https://www.youtube.com/@derekbanas</x:v>
      </x:c>
    </x:row>
    <x:row r="149" ht="32" customHeight="1">
      <x:c r="A149" s="26" t="n">
        <x:v>143</x:v>
      </x:c>
      <x:c r="B149" t="str">
        <x:v>Goobie and Doobie</x:v>
      </x:c>
      <x:c r="C149" t="str">
        <x:v>@GoobieAndDoobie</x:v>
      </x:c>
      <x:c r="D149" s="26" t="str">
        <x:f>IF(OR(COUNTIF('Current Subscriptions'!$B$7:$B$83,B149)&gt;0,COUNTIF('Current Subscriptions'!$C$7:$C$83,C149)&gt;0),"Yes","No")</x:f>
        <x:v>No</x:v>
      </x:c>
      <x:c r="E149" s="26" t="n">
        <x:f>COUNTIF('Home Feed'!$E$7:$E$235,B149)</x:f>
        <x:v>1</x:v>
      </x:c>
      <x:c r="F149" s="26" t="n">
        <x:f>MINIFS('Home Feed'!$A$7:$A$235,'Home Feed'!$E$7:$E$235,B149)</x:f>
        <x:v>166</x:v>
      </x:c>
      <x:c r="G149" t="str">
        <x:v>Video</x:v>
      </x:c>
      <x:c r="H149" s="27" t="str">
        <x:f>XLOOKUP(B149,'Home Feed'!$E$7:$E$235,'Home Feed'!$C$7:$C$235,"")</x:f>
        <x:v>The Ending of This Story and the Beginning of a New One</x:v>
      </x:c>
      <x:c r="I149" s="96" t="str">
        <x:v>https://www.youtube.com/@GoobieAndDoobie</x:v>
      </x:c>
    </x:row>
    <x:row r="150" ht="32" customHeight="1">
      <x:c r="A150" s="26" t="n">
        <x:v>144</x:v>
      </x:c>
      <x:c r="B150" t="str">
        <x:v>Alex O'Connor</x:v>
      </x:c>
      <x:c r="C150" t="str">
        <x:v>@CosmicSkeptic</x:v>
      </x:c>
      <x:c r="D150" s="26" t="str">
        <x:f>IF(OR(COUNTIF('Current Subscriptions'!$B$7:$B$83,B150)&gt;0,COUNTIF('Current Subscriptions'!$C$7:$C$83,C150)&gt;0),"Yes","No")</x:f>
        <x:v>No</x:v>
      </x:c>
      <x:c r="E150" s="26" t="n">
        <x:f>COUNTIF('Home Feed'!$E$7:$E$235,B150)</x:f>
        <x:v>1</x:v>
      </x:c>
      <x:c r="F150" s="26" t="n">
        <x:f>MINIFS('Home Feed'!$A$7:$A$235,'Home Feed'!$E$7:$E$235,B150)</x:f>
        <x:v>167</x:v>
      </x:c>
      <x:c r="G150" t="str">
        <x:v>Video</x:v>
      </x:c>
      <x:c r="H150" s="27" t="str">
        <x:f>XLOOKUP(B150,'Home Feed'!$E$7:$E$235,'Home Feed'!$C$7:$C$235,"")</x:f>
        <x:v>Are We Alone in the Universe? - Hank Green</x:v>
      </x:c>
      <x:c r="I150" s="96" t="str">
        <x:v>https://www.youtube.com/@CosmicSkeptic</x:v>
      </x:c>
    </x:row>
    <x:row r="151" ht="32" customHeight="1">
      <x:c r="A151" s="26" t="n">
        <x:v>145</x:v>
      </x:c>
      <x:c r="B151" t="str">
        <x:v>Metric - Topic</x:v>
      </x:c>
      <x:c r="C151" t="str"/>
      <x:c r="D151" s="26" t="str">
        <x:f>IF(OR(COUNTIF('Current Subscriptions'!$B$7:$B$83,B151)&gt;0,COUNTIF('Current Subscriptions'!$C$7:$C$83,C151)&gt;0),"Yes","No")</x:f>
        <x:v>No</x:v>
      </x:c>
      <x:c r="E151" s="26" t="n">
        <x:f>COUNTIF('Home Feed'!$E$7:$E$235,B151)</x:f>
        <x:v>1</x:v>
      </x:c>
      <x:c r="F151" s="26" t="n">
        <x:f>MINIFS('Home Feed'!$A$7:$A$235,'Home Feed'!$E$7:$E$235,B151)</x:f>
        <x:v>168</x:v>
      </x:c>
      <x:c r="G151" t="str">
        <x:v>Video</x:v>
      </x:c>
      <x:c r="H151" s="27" t="str">
        <x:f>XLOOKUP(B151,'Home Feed'!$E$7:$E$235,'Home Feed'!$C$7:$C$235,"")</x:f>
        <x:v>Help I'm Alive</x:v>
      </x:c>
      <x:c r="I151" s="96" t="str">
        <x:v>https://www.youtube.com/channel/UCEDAqx7QPrOUV3Bx9aqUjsw</x:v>
      </x:c>
    </x:row>
    <x:row r="152" ht="32" customHeight="1">
      <x:c r="A152" s="26" t="n">
        <x:v>146</x:v>
      </x:c>
      <x:c r="B152" t="str">
        <x:v>CsMadeEz</x:v>
      </x:c>
      <x:c r="C152" t="str">
        <x:v>@CsMadeEz</x:v>
      </x:c>
      <x:c r="D152" s="26" t="str">
        <x:f>IF(OR(COUNTIF('Current Subscriptions'!$B$7:$B$83,B152)&gt;0,COUNTIF('Current Subscriptions'!$C$7:$C$83,C152)&gt;0),"Yes","No")</x:f>
        <x:v>No</x:v>
      </x:c>
      <x:c r="E152" s="26" t="n">
        <x:f>COUNTIF('Home Feed'!$E$7:$E$235,B152)</x:f>
        <x:v>1</x:v>
      </x:c>
      <x:c r="F152" s="26" t="n">
        <x:f>MINIFS('Home Feed'!$A$7:$A$235,'Home Feed'!$E$7:$E$235,B152)</x:f>
        <x:v>169</x:v>
      </x:c>
      <x:c r="G152" t="str">
        <x:v>Video</x:v>
      </x:c>
      <x:c r="H152" s="27" t="str">
        <x:f>XLOOKUP(B152,'Home Feed'!$E$7:$E$235,'Home Feed'!$C$7:$C$235,"")</x:f>
        <x:v>Dependency Injection Finally Explained Properly!</x:v>
      </x:c>
      <x:c r="I152" s="96" t="str">
        <x:v>https://www.youtube.com/@CsMadeEz</x:v>
      </x:c>
    </x:row>
    <x:row r="153" ht="32" customHeight="1">
      <x:c r="A153" s="26" t="n">
        <x:v>147</x:v>
      </x:c>
      <x:c r="B153" t="str">
        <x:v>Quincy Sandbank</x:v>
      </x:c>
      <x:c r="C153" t="str">
        <x:v>@Qsandbank</x:v>
      </x:c>
      <x:c r="D153" s="26" t="str">
        <x:f>IF(OR(COUNTIF('Current Subscriptions'!$B$7:$B$83,B153)&gt;0,COUNTIF('Current Subscriptions'!$C$7:$C$83,C153)&gt;0),"Yes","No")</x:f>
        <x:v>No</x:v>
      </x:c>
      <x:c r="E153" s="26" t="n">
        <x:f>COUNTIF('Home Feed'!$E$7:$E$235,B153)</x:f>
        <x:v>1</x:v>
      </x:c>
      <x:c r="F153" s="26" t="n">
        <x:f>MINIFS('Home Feed'!$A$7:$A$235,'Home Feed'!$E$7:$E$235,B153)</x:f>
        <x:v>170</x:v>
      </x:c>
      <x:c r="G153" t="str">
        <x:v>Video</x:v>
      </x:c>
      <x:c r="H153" s="27" t="str">
        <x:f>XLOOKUP(B153,'Home Feed'!$E$7:$E$235,'Home Feed'!$C$7:$C$235,"")</x:f>
        <x:v>I Bought And Restored "Old" Technology To Prove The Economy Is Imploding</x:v>
      </x:c>
      <x:c r="I153" s="96" t="str">
        <x:v>https://www.youtube.com/@Qsandbank</x:v>
      </x:c>
    </x:row>
    <x:row r="154" ht="32" customHeight="1">
      <x:c r="A154" s="26" t="n">
        <x:v>148</x:v>
      </x:c>
      <x:c r="B154" t="str">
        <x:v>Shameless Nerd</x:v>
      </x:c>
      <x:c r="C154" t="str">
        <x:v>@shamelessnerd</x:v>
      </x:c>
      <x:c r="D154" s="26" t="str">
        <x:f>IF(OR(COUNTIF('Current Subscriptions'!$B$7:$B$83,B154)&gt;0,COUNTIF('Current Subscriptions'!$C$7:$C$83,C154)&gt;0),"Yes","No")</x:f>
        <x:v>No</x:v>
      </x:c>
      <x:c r="E154" s="26" t="n">
        <x:f>COUNTIF('Home Feed'!$E$7:$E$235,B154)</x:f>
        <x:v>1</x:v>
      </x:c>
      <x:c r="F154" s="26" t="n">
        <x:f>MINIFS('Home Feed'!$A$7:$A$235,'Home Feed'!$E$7:$E$235,B154)</x:f>
        <x:v>171</x:v>
      </x:c>
      <x:c r="G154" t="str">
        <x:v>Video</x:v>
      </x:c>
      <x:c r="H154" s="27" t="str">
        <x:f>XLOOKUP(B154,'Home Feed'!$E$7:$E$235,'Home Feed'!$C$7:$C$235,"")</x:f>
        <x:v>The "Self-Help" Scam</x:v>
      </x:c>
      <x:c r="I154" s="96" t="str">
        <x:v>https://www.youtube.com/@shamelessnerd</x:v>
      </x:c>
    </x:row>
    <x:row r="155" ht="32" customHeight="1">
      <x:c r="A155" s="26" t="n">
        <x:v>149</x:v>
      </x:c>
      <x:c r="B155" t="str">
        <x:v>NeetCode</x:v>
      </x:c>
      <x:c r="C155" t="str">
        <x:v>@NeetCode</x:v>
      </x:c>
      <x:c r="D155" s="26" t="str">
        <x:f>IF(OR(COUNTIF('Current Subscriptions'!$B$7:$B$83,B155)&gt;0,COUNTIF('Current Subscriptions'!$C$7:$C$83,C155)&gt;0),"Yes","No")</x:f>
        <x:v>No</x:v>
      </x:c>
      <x:c r="E155" s="26" t="n">
        <x:f>COUNTIF('Home Feed'!$E$7:$E$235,B155)</x:f>
        <x:v>1</x:v>
      </x:c>
      <x:c r="F155" s="26" t="n">
        <x:f>MINIFS('Home Feed'!$A$7:$A$235,'Home Feed'!$E$7:$E$235,B155)</x:f>
        <x:v>172</x:v>
      </x:c>
      <x:c r="G155" t="str">
        <x:v>Video</x:v>
      </x:c>
      <x:c r="H155" s="27" t="str">
        <x:f>XLOOKUP(B155,'Home Feed'!$E$7:$E$235,'Home Feed'!$C$7:$C$235,"")</x:f>
        <x:v>Not this again</x:v>
      </x:c>
      <x:c r="I155" s="96" t="str">
        <x:v>https://www.youtube.com/@NeetCode</x:v>
      </x:c>
    </x:row>
    <x:row r="156" ht="32" customHeight="1">
      <x:c r="A156" s="26" t="n">
        <x:v>150</x:v>
      </x:c>
      <x:c r="B156" t="str">
        <x:v>Sisyphus 55</x:v>
      </x:c>
      <x:c r="C156" t="str">
        <x:v>@Sisyphus55</x:v>
      </x:c>
      <x:c r="D156" s="26" t="str">
        <x:f>IF(OR(COUNTIF('Current Subscriptions'!$B$7:$B$83,B156)&gt;0,COUNTIF('Current Subscriptions'!$C$7:$C$83,C156)&gt;0),"Yes","No")</x:f>
        <x:v>No</x:v>
      </x:c>
      <x:c r="E156" s="26" t="n">
        <x:f>COUNTIF('Home Feed'!$E$7:$E$235,B156)</x:f>
        <x:v>1</x:v>
      </x:c>
      <x:c r="F156" s="26" t="n">
        <x:f>MINIFS('Home Feed'!$A$7:$A$235,'Home Feed'!$E$7:$E$235,B156)</x:f>
        <x:v>173</x:v>
      </x:c>
      <x:c r="G156" t="str">
        <x:v>Video</x:v>
      </x:c>
      <x:c r="H156" s="27" t="str">
        <x:f>XLOOKUP(B156,'Home Feed'!$E$7:$E$235,'Home Feed'!$C$7:$C$235,"")</x:f>
        <x:v>there will be no closure</x:v>
      </x:c>
      <x:c r="I156" s="96" t="str">
        <x:v>https://www.youtube.com/@Sisyphus55</x:v>
      </x:c>
    </x:row>
    <x:row r="157" ht="32" customHeight="1">
      <x:c r="A157" s="26" t="n">
        <x:v>151</x:v>
      </x:c>
      <x:c r="B157" t="str">
        <x:v>The Interview</x:v>
      </x:c>
      <x:c r="C157" t="str">
        <x:v>@theinterviewpodcast</x:v>
      </x:c>
      <x:c r="D157" s="26" t="str">
        <x:f>IF(OR(COUNTIF('Current Subscriptions'!$B$7:$B$83,B157)&gt;0,COUNTIF('Current Subscriptions'!$C$7:$C$83,C157)&gt;0),"Yes","No")</x:f>
        <x:v>No</x:v>
      </x:c>
      <x:c r="E157" s="26" t="n">
        <x:f>COUNTIF('Home Feed'!$E$7:$E$235,B157)</x:f>
        <x:v>1</x:v>
      </x:c>
      <x:c r="F157" s="26" t="n">
        <x:f>MINIFS('Home Feed'!$A$7:$A$235,'Home Feed'!$E$7:$E$235,B157)</x:f>
        <x:v>174</x:v>
      </x:c>
      <x:c r="G157" t="str">
        <x:v>Video</x:v>
      </x:c>
      <x:c r="H157" s="27" t="str">
        <x:f>XLOOKUP(B157,'Home Feed'!$E$7:$E$235,'Home Feed'!$C$7:$C$235,"")</x:f>
        <x:v>Kristen Stewart Thinks Hollywood Is Stuck in ‘Capitalist Hell’ | The Interview</x:v>
      </x:c>
      <x:c r="I157" s="96" t="str">
        <x:v>https://www.youtube.com/@theinterviewpodcast</x:v>
      </x:c>
    </x:row>
    <x:row r="158" ht="32" customHeight="1">
      <x:c r="A158" s="26" t="n">
        <x:v>152</x:v>
      </x:c>
      <x:c r="B158" t="str">
        <x:v>Zippo Fanatic 77 Outdoors</x:v>
      </x:c>
      <x:c r="C158" t="str">
        <x:v>@Zippofanatic77outdoors</x:v>
      </x:c>
      <x:c r="D158" s="26" t="str">
        <x:f>IF(OR(COUNTIF('Current Subscriptions'!$B$7:$B$83,B158)&gt;0,COUNTIF('Current Subscriptions'!$C$7:$C$83,C158)&gt;0),"Yes","No")</x:f>
        <x:v>No</x:v>
      </x:c>
      <x:c r="E158" s="26" t="n">
        <x:f>COUNTIF('Home Feed'!$E$7:$E$235,B158)</x:f>
        <x:v>1</x:v>
      </x:c>
      <x:c r="F158" s="26" t="n">
        <x:f>MINIFS('Home Feed'!$A$7:$A$235,'Home Feed'!$E$7:$E$235,B158)</x:f>
        <x:v>175</x:v>
      </x:c>
      <x:c r="G158" t="str">
        <x:v>Video</x:v>
      </x:c>
      <x:c r="H158" s="27" t="str">
        <x:f>XLOOKUP(B158,'Home Feed'!$E$7:$E$235,'Home Feed'!$C$7:$C$235,"")</x:f>
        <x:v>What Is The Best Butane Insert For Zippo ?</x:v>
      </x:c>
      <x:c r="I158" s="96" t="str">
        <x:v>https://www.youtube.com/@Zippofanatic77outdoors</x:v>
      </x:c>
    </x:row>
    <x:row r="159" ht="32" customHeight="1">
      <x:c r="A159" s="26" t="n">
        <x:v>153</x:v>
      </x:c>
      <x:c r="B159" t="str">
        <x:v>Enody</x:v>
      </x:c>
      <x:c r="C159" t="str">
        <x:v>@enodylighting</x:v>
      </x:c>
      <x:c r="D159" s="26" t="str">
        <x:f>IF(OR(COUNTIF('Current Subscriptions'!$B$7:$B$83,B159)&gt;0,COUNTIF('Current Subscriptions'!$C$7:$C$83,C159)&gt;0),"Yes","No")</x:f>
        <x:v>No</x:v>
      </x:c>
      <x:c r="E159" s="26" t="n">
        <x:f>COUNTIF('Home Feed'!$E$7:$E$235,B159)</x:f>
        <x:v>1</x:v>
      </x:c>
      <x:c r="F159" s="26" t="n">
        <x:f>MINIFS('Home Feed'!$A$7:$A$235,'Home Feed'!$E$7:$E$235,B159)</x:f>
        <x:v>176</x:v>
      </x:c>
      <x:c r="G159" t="str">
        <x:v>Video</x:v>
      </x:c>
      <x:c r="H159" s="27" t="str">
        <x:f>XLOOKUP(B159,'Home Feed'!$E$7:$E$235,'Home Feed'!$C$7:$C$235,"")</x:f>
        <x:v>Why Modern Lighting Feels Bad (and How I Fixed It)</x:v>
      </x:c>
      <x:c r="I159" s="96" t="str">
        <x:v>https://www.youtube.com/@enodylighting</x:v>
      </x:c>
    </x:row>
    <x:row r="160" ht="32" customHeight="1">
      <x:c r="A160" s="26" t="n">
        <x:v>154</x:v>
      </x:c>
      <x:c r="B160" t="str">
        <x:v>Piano City - Topic</x:v>
      </x:c>
      <x:c r="C160" t="str"/>
      <x:c r="D160" s="26" t="str">
        <x:f>IF(OR(COUNTIF('Current Subscriptions'!$B$7:$B$83,B160)&gt;0,COUNTIF('Current Subscriptions'!$C$7:$C$83,C160)&gt;0),"Yes","No")</x:f>
        <x:v>No</x:v>
      </x:c>
      <x:c r="E160" s="26" t="n">
        <x:f>COUNTIF('Home Feed'!$E$7:$E$235,B160)</x:f>
        <x:v>1</x:v>
      </x:c>
      <x:c r="F160" s="26" t="n">
        <x:f>MINIFS('Home Feed'!$A$7:$A$235,'Home Feed'!$E$7:$E$235,B160)</x:f>
        <x:v>178</x:v>
      </x:c>
      <x:c r="G160" t="str">
        <x:v>Video</x:v>
      </x:c>
      <x:c r="H160" s="27" t="str">
        <x:f>XLOOKUP(B160,'Home Feed'!$E$7:$E$235,'Home Feed'!$C$7:$C$235,"")</x:f>
        <x:v>Abantu (feat. LeeMcKrazy, Zee Nxumalo, FLUXX)</x:v>
      </x:c>
      <x:c r="I160" s="96" t="str">
        <x:v>https://www.youtube.com/channel/UCJ-raAZOiKSltfgtHy9MyaA</x:v>
      </x:c>
    </x:row>
    <x:row r="161" ht="32" customHeight="1">
      <x:c r="A161" s="26" t="n">
        <x:v>155</x:v>
      </x:c>
      <x:c r="B161" t="str">
        <x:v>Ziwe</x:v>
      </x:c>
      <x:c r="C161" t="str">
        <x:v>@ziwe</x:v>
      </x:c>
      <x:c r="D161" s="26" t="str">
        <x:f>IF(OR(COUNTIF('Current Subscriptions'!$B$7:$B$83,B161)&gt;0,COUNTIF('Current Subscriptions'!$C$7:$C$83,C161)&gt;0),"Yes","No")</x:f>
        <x:v>No</x:v>
      </x:c>
      <x:c r="E161" s="26" t="n">
        <x:f>COUNTIF('Home Feed'!$E$7:$E$235,B161)</x:f>
        <x:v>1</x:v>
      </x:c>
      <x:c r="F161" s="26" t="n">
        <x:f>MINIFS('Home Feed'!$A$7:$A$235,'Home Feed'!$E$7:$E$235,B161)</x:f>
        <x:v>179</x:v>
      </x:c>
      <x:c r="G161" t="str">
        <x:v>Video</x:v>
      </x:c>
      <x:c r="H161" s="27" t="str">
        <x:f>XLOOKUP(B161,'Home Feed'!$E$7:$E$235,'Home Feed'!$C$7:$C$235,"")</x:f>
        <x:v>VINCE STAPLES IS AN ICONIC GUEST | ZIWE INTERVIEW</x:v>
      </x:c>
      <x:c r="I161" s="96" t="str">
        <x:v>https://www.youtube.com/@ziwe</x:v>
      </x:c>
    </x:row>
    <x:row r="162" ht="32" customHeight="1">
      <x:c r="A162" s="26" t="n">
        <x:v>156</x:v>
      </x:c>
      <x:c r="B162" t="str">
        <x:v>Monkey Mind 101</x:v>
      </x:c>
      <x:c r="C162" t="str">
        <x:v>@monkeymind-101</x:v>
      </x:c>
      <x:c r="D162" s="26" t="str">
        <x:f>IF(OR(COUNTIF('Current Subscriptions'!$B$7:$B$83,B162)&gt;0,COUNTIF('Current Subscriptions'!$C$7:$C$83,C162)&gt;0),"Yes","No")</x:f>
        <x:v>No</x:v>
      </x:c>
      <x:c r="E162" s="26" t="n">
        <x:f>COUNTIF('Home Feed'!$E$7:$E$235,B162)</x:f>
        <x:v>1</x:v>
      </x:c>
      <x:c r="F162" s="26" t="n">
        <x:f>MINIFS('Home Feed'!$A$7:$A$235,'Home Feed'!$E$7:$E$235,B162)</x:f>
        <x:v>180</x:v>
      </x:c>
      <x:c r="G162" t="str">
        <x:v>Video</x:v>
      </x:c>
      <x:c r="H162" s="27" t="str">
        <x:f>XLOOKUP(B162,'Home Feed'!$E$7:$E$235,'Home Feed'!$C$7:$C$235,"")</x:f>
        <x:v>Monkey Slept 4 Hours. Can Monkey Make It Feel Like 8?</x:v>
      </x:c>
      <x:c r="I162" s="96" t="str">
        <x:v>https://www.youtube.com/@monkeymind-101</x:v>
      </x:c>
    </x:row>
    <x:row r="163" ht="32" customHeight="1">
      <x:c r="A163" s="26" t="n">
        <x:v>157</x:v>
      </x:c>
      <x:c r="B163" t="str">
        <x:v>Baba Ram Dass</x:v>
      </x:c>
      <x:c r="C163" t="str">
        <x:v>@BabaRamDassChannel</x:v>
      </x:c>
      <x:c r="D163" s="26" t="str">
        <x:f>IF(OR(COUNTIF('Current Subscriptions'!$B$7:$B$83,B163)&gt;0,COUNTIF('Current Subscriptions'!$C$7:$C$83,C163)&gt;0),"Yes","No")</x:f>
        <x:v>No</x:v>
      </x:c>
      <x:c r="E163" s="26" t="n">
        <x:f>COUNTIF('Home Feed'!$E$7:$E$235,B163)</x:f>
        <x:v>1</x:v>
      </x:c>
      <x:c r="F163" s="26" t="n">
        <x:f>MINIFS('Home Feed'!$A$7:$A$235,'Home Feed'!$E$7:$E$235,B163)</x:f>
        <x:v>181</x:v>
      </x:c>
      <x:c r="G163" t="str">
        <x:v>Video</x:v>
      </x:c>
      <x:c r="H163" s="27" t="str">
        <x:f>XLOOKUP(B163,'Home Feed'!$E$7:$E$235,'Home Feed'!$C$7:$C$235,"")</x:f>
        <x:v>🔴 Ram Dass 24/7 Lofi Radio - beats to chill to</x:v>
      </x:c>
      <x:c r="I163" s="96" t="str">
        <x:v>https://www.youtube.com/@BabaRamDassChannel</x:v>
      </x:c>
    </x:row>
    <x:row r="164" ht="32" customHeight="1">
      <x:c r="A164" s="26" t="n">
        <x:v>158</x:v>
      </x:c>
      <x:c r="B164" t="str">
        <x:v>Brainbox - Topic</x:v>
      </x:c>
      <x:c r="C164" t="str"/>
      <x:c r="D164" s="26" t="str">
        <x:f>IF(OR(COUNTIF('Current Subscriptions'!$B$7:$B$83,B164)&gt;0,COUNTIF('Current Subscriptions'!$C$7:$C$83,C164)&gt;0),"Yes","No")</x:f>
        <x:v>No</x:v>
      </x:c>
      <x:c r="E164" s="26" t="n">
        <x:f>COUNTIF('Home Feed'!$E$7:$E$235,B164)</x:f>
        <x:v>1</x:v>
      </x:c>
      <x:c r="F164" s="26" t="n">
        <x:f>MINIFS('Home Feed'!$A$7:$A$235,'Home Feed'!$E$7:$E$235,B164)</x:f>
        <x:v>182</x:v>
      </x:c>
      <x:c r="G164" t="str">
        <x:v>Mix</x:v>
      </x:c>
      <x:c r="H164" s="27" t="str">
        <x:f>XLOOKUP(B164,'Home Feed'!$E$7:$E$235,'Home Feed'!$C$7:$C$235,"")</x:f>
        <x:v>Mix - Alpha Meditation</x:v>
      </x:c>
      <x:c r="I164" s="96" t="str">
        <x:v>https://www.youtube.com/channel/UCHdGce8iSOfXH2MnKgKXoew</x:v>
      </x:c>
    </x:row>
    <x:row r="165" ht="32" customHeight="1">
      <x:c r="A165" s="26" t="n">
        <x:v>159</x:v>
      </x:c>
      <x:c r="B165" t="str">
        <x:v>Josh Johnson</x:v>
      </x:c>
      <x:c r="C165" t="str">
        <x:v>@JoshJohnsonComedy</x:v>
      </x:c>
      <x:c r="D165" s="26" t="str">
        <x:f>IF(OR(COUNTIF('Current Subscriptions'!$B$7:$B$83,B165)&gt;0,COUNTIF('Current Subscriptions'!$C$7:$C$83,C165)&gt;0),"Yes","No")</x:f>
        <x:v>No</x:v>
      </x:c>
      <x:c r="E165" s="26" t="n">
        <x:f>COUNTIF('Home Feed'!$E$7:$E$235,B165)</x:f>
        <x:v>1</x:v>
      </x:c>
      <x:c r="F165" s="26" t="n">
        <x:f>MINIFS('Home Feed'!$A$7:$A$235,'Home Feed'!$E$7:$E$235,B165)</x:f>
        <x:v>183</x:v>
      </x:c>
      <x:c r="G165" t="str">
        <x:v>Video</x:v>
      </x:c>
      <x:c r="H165" s="27" t="str">
        <x:f>XLOOKUP(B165,'Home Feed'!$E$7:$E$235,'Home Feed'!$C$7:$C$235,"")</x:f>
        <x:v>50 Goes #1 on Netflix with Diddy Doc</x:v>
      </x:c>
      <x:c r="I165" s="96" t="str">
        <x:v>https://www.youtube.com/@JoshJohnsonComedy</x:v>
      </x:c>
    </x:row>
    <x:row r="166" ht="32" customHeight="1">
      <x:c r="A166" s="26" t="n">
        <x:v>160</x:v>
      </x:c>
      <x:c r="B166" t="str">
        <x:v>Pottery to the People</x:v>
      </x:c>
      <x:c r="C166" t="str">
        <x:v>@PotterytothePeople</x:v>
      </x:c>
      <x:c r="D166" s="26" t="str">
        <x:f>IF(OR(COUNTIF('Current Subscriptions'!$B$7:$B$83,B166)&gt;0,COUNTIF('Current Subscriptions'!$C$7:$C$83,C166)&gt;0),"Yes","No")</x:f>
        <x:v>No</x:v>
      </x:c>
      <x:c r="E166" s="26" t="n">
        <x:f>COUNTIF('Home Feed'!$E$7:$E$235,B166)</x:f>
        <x:v>1</x:v>
      </x:c>
      <x:c r="F166" s="26" t="n">
        <x:f>MINIFS('Home Feed'!$A$7:$A$235,'Home Feed'!$E$7:$E$235,B166)</x:f>
        <x:v>184</x:v>
      </x:c>
      <x:c r="G166" t="str">
        <x:v>Video</x:v>
      </x:c>
      <x:c r="H166" s="27" t="str">
        <x:f>XLOOKUP(B166,'Home Feed'!$E$7:$E$235,'Home Feed'!$C$7:$C$235,"")</x:f>
        <x:v>Can I make an A/C out of clay? (3.0)</x:v>
      </x:c>
      <x:c r="I166" s="96" t="str">
        <x:v>https://www.youtube.com/@PotterytothePeople</x:v>
      </x:c>
    </x:row>
    <x:row r="167" ht="32" customHeight="1">
      <x:c r="A167" s="26" t="n">
        <x:v>161</x:v>
      </x:c>
      <x:c r="B167" t="str">
        <x:v>Watch Geek</x:v>
      </x:c>
      <x:c r="C167" t="str">
        <x:v>@WatchGeek</x:v>
      </x:c>
      <x:c r="D167" s="26" t="str">
        <x:f>IF(OR(COUNTIF('Current Subscriptions'!$B$7:$B$83,B167)&gt;0,COUNTIF('Current Subscriptions'!$C$7:$C$83,C167)&gt;0),"Yes","No")</x:f>
        <x:v>No</x:v>
      </x:c>
      <x:c r="E167" s="26" t="n">
        <x:f>COUNTIF('Home Feed'!$E$7:$E$235,B167)</x:f>
        <x:v>1</x:v>
      </x:c>
      <x:c r="F167" s="26" t="n">
        <x:f>MINIFS('Home Feed'!$A$7:$A$235,'Home Feed'!$E$7:$E$235,B167)</x:f>
        <x:v>185</x:v>
      </x:c>
      <x:c r="G167" t="str">
        <x:v>Video</x:v>
      </x:c>
      <x:c r="H167" s="27" t="str">
        <x:f>XLOOKUP(B167,'Home Feed'!$E$7:$E$235,'Home Feed'!$C$7:$C$235,"")</x:f>
        <x:v>ZORRO vs. ZIPPO 2 year update! ONE BROKE....can YOU guess which one????</x:v>
      </x:c>
      <x:c r="I167" s="96" t="str">
        <x:v>https://www.youtube.com/@WatchGeek</x:v>
      </x:c>
    </x:row>
    <x:row r="168" ht="32" customHeight="1">
      <x:c r="A168" s="26" t="n">
        <x:v>162</x:v>
      </x:c>
      <x:c r="B168" t="str">
        <x:v>YouTube Movies</x:v>
      </x:c>
      <x:c r="C168" t="str"/>
      <x:c r="D168" s="26" t="str">
        <x:f>IF(OR(COUNTIF('Current Subscriptions'!$B$7:$B$83,B168)&gt;0,COUNTIF('Current Subscriptions'!$C$7:$C$83,C168)&gt;0),"Yes","No")</x:f>
        <x:v>No</x:v>
      </x:c>
      <x:c r="E168" s="26" t="n">
        <x:f>COUNTIF('Home Feed'!$E$7:$E$235,B168)</x:f>
        <x:v>1</x:v>
      </x:c>
      <x:c r="F168" s="26" t="n">
        <x:f>MINIFS('Home Feed'!$A$7:$A$235,'Home Feed'!$E$7:$E$235,B168)</x:f>
        <x:v>186</x:v>
      </x:c>
      <x:c r="G168" t="str">
        <x:v>Video</x:v>
      </x:c>
      <x:c r="H168" s="27" t="str">
        <x:f>XLOOKUP(B168,'Home Feed'!$E$7:$E$235,'Home Feed'!$C$7:$C$235,"")</x:f>
        <x:v>Passengers</x:v>
      </x:c>
      <x:c r="I168" s="96" t="str">
        <x:v>https://www.youtube.com/channel/UCuVPpxrm2VAgpH3Ktln4HXg</x:v>
      </x:c>
    </x:row>
    <x:row r="169" ht="32" customHeight="1">
      <x:c r="A169" s="26" t="n">
        <x:v>163</x:v>
      </x:c>
      <x:c r="B169" t="str">
        <x:v>Fred again . .</x:v>
      </x:c>
      <x:c r="C169" t="str">
        <x:v>@Fredagainagain</x:v>
      </x:c>
      <x:c r="D169" s="26" t="str">
        <x:f>IF(OR(COUNTIF('Current Subscriptions'!$B$7:$B$83,B169)&gt;0,COUNTIF('Current Subscriptions'!$C$7:$C$83,C169)&gt;0),"Yes","No")</x:f>
        <x:v>No</x:v>
      </x:c>
      <x:c r="E169" s="26" t="n">
        <x:f>COUNTIF('Home Feed'!$E$7:$E$235,B169)</x:f>
        <x:v>1</x:v>
      </x:c>
      <x:c r="F169" s="26" t="n">
        <x:f>MINIFS('Home Feed'!$A$7:$A$235,'Home Feed'!$E$7:$E$235,B169)</x:f>
        <x:v>187</x:v>
      </x:c>
      <x:c r="G169" t="str">
        <x:v>Video</x:v>
      </x:c>
      <x:c r="H169" s="27" t="str">
        <x:f>XLOOKUP(B169,'Home Feed'!$E$7:$E$235,'Home Feed'!$C$7:$C$235,"")</x:f>
        <x:v>Fred again.. - Rooftop Live (Arun’s Roof, London)</x:v>
      </x:c>
      <x:c r="I169" s="96" t="str">
        <x:v>https://www.youtube.com/@Fredagainagain</x:v>
      </x:c>
    </x:row>
    <x:row r="170" ht="32" customHeight="1">
      <x:c r="A170" s="26" t="n">
        <x:v>164</x:v>
      </x:c>
      <x:c r="B170" t="str">
        <x:v>AratiDrawingDiarys</x:v>
      </x:c>
      <x:c r="C170" t="str">
        <x:v>@AratiDrawingDiarys</x:v>
      </x:c>
      <x:c r="D170" s="26" t="str">
        <x:f>IF(OR(COUNTIF('Current Subscriptions'!$B$7:$B$83,B170)&gt;0,COUNTIF('Current Subscriptions'!$C$7:$C$83,C170)&gt;0),"Yes","No")</x:f>
        <x:v>No</x:v>
      </x:c>
      <x:c r="E170" s="26" t="n">
        <x:f>COUNTIF('Home Feed'!$E$7:$E$235,B170)</x:f>
        <x:v>1</x:v>
      </x:c>
      <x:c r="F170" s="26" t="n">
        <x:f>MINIFS('Home Feed'!$A$7:$A$235,'Home Feed'!$E$7:$E$235,B170)</x:f>
        <x:v>188</x:v>
      </x:c>
      <x:c r="G170" t="str">
        <x:v>Video</x:v>
      </x:c>
      <x:c r="H170" s="27" t="str">
        <x:f>XLOOKUP(B170,'Home Feed'!$E$7:$E$235,'Home Feed'!$C$7:$C$235,"")</x:f>
        <x:v>Onam festival panjurli dev full sketch</x:v>
      </x:c>
      <x:c r="I170" s="96" t="str">
        <x:v>https://www.youtube.com/@AratiDrawingDiarys</x:v>
      </x:c>
    </x:row>
    <x:row r="171" ht="32" customHeight="1">
      <x:c r="A171" s="26" t="n">
        <x:v>165</x:v>
      </x:c>
      <x:c r="B171" t="str">
        <x:v>Some More News</x:v>
      </x:c>
      <x:c r="C171" t="str">
        <x:v>@SMN</x:v>
      </x:c>
      <x:c r="D171" s="26" t="str">
        <x:f>IF(OR(COUNTIF('Current Subscriptions'!$B$7:$B$83,B171)&gt;0,COUNTIF('Current Subscriptions'!$C$7:$C$83,C171)&gt;0),"Yes","No")</x:f>
        <x:v>No</x:v>
      </x:c>
      <x:c r="E171" s="26" t="n">
        <x:f>COUNTIF('Home Feed'!$E$7:$E$235,B171)</x:f>
        <x:v>1</x:v>
      </x:c>
      <x:c r="F171" s="26" t="n">
        <x:f>MINIFS('Home Feed'!$A$7:$A$235,'Home Feed'!$E$7:$E$235,B171)</x:f>
        <x:v>189</x:v>
      </x:c>
      <x:c r="G171" t="str">
        <x:v>Video</x:v>
      </x:c>
      <x:c r="H171" s="27" t="str">
        <x:f>XLOOKUP(B171,'Home Feed'!$E$7:$E$235,'Home Feed'!$C$7:$C$235,"")</x:f>
        <x:v>George W. Bush Was A Bad President And Guy - SOME MORE NEWS</x:v>
      </x:c>
      <x:c r="I171" s="96" t="str">
        <x:v>https://www.youtube.com/@SMN</x:v>
      </x:c>
    </x:row>
    <x:row r="172" ht="32" customHeight="1">
      <x:c r="A172" s="26" t="n">
        <x:v>166</x:v>
      </x:c>
      <x:c r="B172" t="str">
        <x:v>Cleo Abram</x:v>
      </x:c>
      <x:c r="C172" t="str">
        <x:v>@CleoAbram</x:v>
      </x:c>
      <x:c r="D172" s="26" t="str">
        <x:f>IF(OR(COUNTIF('Current Subscriptions'!$B$7:$B$83,B172)&gt;0,COUNTIF('Current Subscriptions'!$C$7:$C$83,C172)&gt;0),"Yes","No")</x:f>
        <x:v>No</x:v>
      </x:c>
      <x:c r="E172" s="26" t="n">
        <x:f>COUNTIF('Home Feed'!$E$7:$E$235,B172)</x:f>
        <x:v>1</x:v>
      </x:c>
      <x:c r="F172" s="26" t="n">
        <x:f>MINIFS('Home Feed'!$A$7:$A$235,'Home Feed'!$E$7:$E$235,B172)</x:f>
        <x:v>190</x:v>
      </x:c>
      <x:c r="G172" t="str">
        <x:v>Video</x:v>
      </x:c>
      <x:c r="H172" s="27" t="str">
        <x:f>XLOOKUP(B172,'Home Feed'!$E$7:$E$235,'Home Feed'!$C$7:$C$235,"")</x:f>
        <x:v>Jony Ive Shows The Real Process Behind the Ferrari Luce</x:v>
      </x:c>
      <x:c r="I172" s="96" t="str">
        <x:v>https://www.youtube.com/@CleoAbram</x:v>
      </x:c>
    </x:row>
    <x:row r="173" ht="32" customHeight="1">
      <x:c r="A173" s="26" t="n">
        <x:v>167</x:v>
      </x:c>
      <x:c r="B173" t="str">
        <x:v>Cipher Remnants</x:v>
      </x:c>
      <x:c r="C173" t="str">
        <x:v>@Cipher_Remnants</x:v>
      </x:c>
      <x:c r="D173" s="26" t="str">
        <x:f>IF(OR(COUNTIF('Current Subscriptions'!$B$7:$B$83,B173)&gt;0,COUNTIF('Current Subscriptions'!$C$7:$C$83,C173)&gt;0),"Yes","No")</x:f>
        <x:v>No</x:v>
      </x:c>
      <x:c r="E173" s="26" t="n">
        <x:f>COUNTIF('Home Feed'!$E$7:$E$235,B173)</x:f>
        <x:v>1</x:v>
      </x:c>
      <x:c r="F173" s="26" t="n">
        <x:f>MINIFS('Home Feed'!$A$7:$A$235,'Home Feed'!$E$7:$E$235,B173)</x:f>
        <x:v>193</x:v>
      </x:c>
      <x:c r="G173" t="str">
        <x:v>Video</x:v>
      </x:c>
      <x:c r="H173" s="27" t="str">
        <x:f>XLOOKUP(B173,'Home Feed'!$E$7:$E$235,'Home Feed'!$C$7:$C$235,"")</x:f>
        <x:v>Rewrite Until Dawn — Dark Cyberpunk Lofi for Late Night Coding &amp; Deep Focus (3 Hours)</x:v>
      </x:c>
      <x:c r="I173" s="96" t="str">
        <x:v>https://www.youtube.com/@Cipher_Remnants</x:v>
      </x:c>
    </x:row>
    <x:row r="174" ht="32" customHeight="1">
      <x:c r="A174" s="26" t="n">
        <x:v>168</x:v>
      </x:c>
      <x:c r="B174" t="str">
        <x:v>Louis Pilfold</x:v>
      </x:c>
      <x:c r="C174" t="str">
        <x:v>@lpil</x:v>
      </x:c>
      <x:c r="D174" s="26" t="str">
        <x:f>IF(OR(COUNTIF('Current Subscriptions'!$B$7:$B$83,B174)&gt;0,COUNTIF('Current Subscriptions'!$C$7:$C$83,C174)&gt;0),"Yes","No")</x:f>
        <x:v>No</x:v>
      </x:c>
      <x:c r="E174" s="26" t="n">
        <x:f>COUNTIF('Home Feed'!$E$7:$E$235,B174)</x:f>
        <x:v>1</x:v>
      </x:c>
      <x:c r="F174" s="26" t="n">
        <x:f>MINIFS('Home Feed'!$A$7:$A$235,'Home Feed'!$E$7:$E$235,B174)</x:f>
        <x:v>194</x:v>
      </x:c>
      <x:c r="G174" t="str">
        <x:v>Video</x:v>
      </x:c>
      <x:c r="H174" s="27" t="str">
        <x:f>XLOOKUP(B174,'Home Feed'!$E$7:$E$235,'Home Feed'!$C$7:$C$235,"")</x:f>
        <x:v>Making Gleam dashboards for my homelab</x:v>
      </x:c>
      <x:c r="I174" s="96" t="str">
        <x:v>https://www.youtube.com/@lpil</x:v>
      </x:c>
    </x:row>
    <x:row r="175" ht="32" customHeight="1">
      <x:c r="A175" s="26" t="n">
        <x:v>169</x:v>
      </x:c>
      <x:c r="B175" t="str">
        <x:v>Let's Get Rusty</x:v>
      </x:c>
      <x:c r="C175" t="str">
        <x:v>@letsgetrusty</x:v>
      </x:c>
      <x:c r="D175" s="26" t="str">
        <x:f>IF(OR(COUNTIF('Current Subscriptions'!$B$7:$B$83,B175)&gt;0,COUNTIF('Current Subscriptions'!$C$7:$C$83,C175)&gt;0),"Yes","No")</x:f>
        <x:v>No</x:v>
      </x:c>
      <x:c r="E175" s="26" t="n">
        <x:f>COUNTIF('Home Feed'!$E$7:$E$235,B175)</x:f>
        <x:v>1</x:v>
      </x:c>
      <x:c r="F175" s="26" t="n">
        <x:f>MINIFS('Home Feed'!$A$7:$A$235,'Home Feed'!$E$7:$E$235,B175)</x:f>
        <x:v>198</x:v>
      </x:c>
      <x:c r="G175" t="str">
        <x:v>Video</x:v>
      </x:c>
      <x:c r="H175" s="27" t="str">
        <x:f>XLOOKUP(B175,'Home Feed'!$E$7:$E$235,'Home Feed'!$C$7:$C$235,"")</x:f>
        <x:v>Rust for Dummies in 12 Minutes</x:v>
      </x:c>
      <x:c r="I175" s="96" t="str">
        <x:v>https://www.youtube.com/@letsgetrusty</x:v>
      </x:c>
    </x:row>
    <x:row r="176" ht="32" customHeight="1">
      <x:c r="A176" s="26" t="n">
        <x:v>170</x:v>
      </x:c>
      <x:c r="B176" t="str">
        <x:v>diinki</x:v>
      </x:c>
      <x:c r="C176" t="str">
        <x:v>@diinkikot</x:v>
      </x:c>
      <x:c r="D176" s="26" t="str">
        <x:f>IF(OR(COUNTIF('Current Subscriptions'!$B$7:$B$83,B176)&gt;0,COUNTIF('Current Subscriptions'!$C$7:$C$83,C176)&gt;0),"Yes","No")</x:f>
        <x:v>No</x:v>
      </x:c>
      <x:c r="E176" s="26" t="n">
        <x:f>COUNTIF('Home Feed'!$E$7:$E$235,B176)</x:f>
        <x:v>1</x:v>
      </x:c>
      <x:c r="F176" s="26" t="n">
        <x:f>MINIFS('Home Feed'!$A$7:$A$235,'Home Feed'!$E$7:$E$235,B176)</x:f>
        <x:v>199</x:v>
      </x:c>
      <x:c r="G176" t="str">
        <x:v>Video</x:v>
      </x:c>
      <x:c r="H176" s="27" t="str">
        <x:f>XLOOKUP(B176,'Home Feed'!$E$7:$E$235,'Home Feed'!$C$7:$C$235,"")</x:f>
        <x:v>Making the most Whimsical Linux Theme.</x:v>
      </x:c>
      <x:c r="I176" s="96" t="str">
        <x:v>https://www.youtube.com/@diinkikot</x:v>
      </x:c>
    </x:row>
    <x:row r="177" ht="32" customHeight="1">
      <x:c r="A177" s="26" t="n">
        <x:v>171</x:v>
      </x:c>
      <x:c r="B177" t="str">
        <x:v>Eric Weinstein</x:v>
      </x:c>
      <x:c r="C177" t="str">
        <x:v>@EricWeinsteinPhD</x:v>
      </x:c>
      <x:c r="D177" s="26" t="str">
        <x:f>IF(OR(COUNTIF('Current Subscriptions'!$B$7:$B$83,B177)&gt;0,COUNTIF('Current Subscriptions'!$C$7:$C$83,C177)&gt;0),"Yes","No")</x:f>
        <x:v>No</x:v>
      </x:c>
      <x:c r="E177" s="26" t="n">
        <x:f>COUNTIF('Home Feed'!$E$7:$E$235,B177)</x:f>
        <x:v>1</x:v>
      </x:c>
      <x:c r="F177" s="26" t="n">
        <x:f>MINIFS('Home Feed'!$A$7:$A$235,'Home Feed'!$E$7:$E$235,B177)</x:f>
        <x:v>203</x:v>
      </x:c>
      <x:c r="G177" t="str">
        <x:v>Mix</x:v>
      </x:c>
      <x:c r="H177" s="27" t="str">
        <x:f>XLOOKUP(B177,'Home Feed'!$E$7:$E$235,'Home Feed'!$C$7:$C$235,"")</x:f>
        <x:v>The Portal Podcast</x:v>
      </x:c>
      <x:c r="I177" s="96" t="str">
        <x:v>https://www.youtube.com/@EricWeinsteinPhD</x:v>
      </x:c>
    </x:row>
    <x:row r="178" ht="32" customHeight="1">
      <x:c r="A178" s="26" t="n">
        <x:v>172</x:v>
      </x:c>
      <x:c r="B178" t="str">
        <x:v>Gracefully Smart</x:v>
      </x:c>
      <x:c r="C178" t="str">
        <x:v>@GracefullySmart</x:v>
      </x:c>
      <x:c r="D178" s="26" t="str">
        <x:f>IF(OR(COUNTIF('Current Subscriptions'!$B$7:$B$83,B178)&gt;0,COUNTIF('Current Subscriptions'!$C$7:$C$83,C178)&gt;0),"Yes","No")</x:f>
        <x:v>No</x:v>
      </x:c>
      <x:c r="E178" s="26" t="n">
        <x:f>COUNTIF('Home Feed'!$E$7:$E$235,B178)</x:f>
        <x:v>1</x:v>
      </x:c>
      <x:c r="F178" s="26" t="n">
        <x:f>MINIFS('Home Feed'!$A$7:$A$235,'Home Feed'!$E$7:$E$235,B178)</x:f>
        <x:v>208</x:v>
      </x:c>
      <x:c r="G178" t="str">
        <x:v>Video</x:v>
      </x:c>
      <x:c r="H178" s="27" t="str">
        <x:f>XLOOKUP(B178,'Home Feed'!$E$7:$E$235,'Home Feed'!$C$7:$C$235,"")</x:f>
        <x:v>How I Got Fluent in French FAST — My Daily Routine</x:v>
      </x:c>
      <x:c r="I178" s="96" t="str">
        <x:v>https://www.youtube.com/@GracefullySmart</x:v>
      </x:c>
    </x:row>
    <x:row r="179" ht="32" customHeight="1">
      <x:c r="A179" s="26" t="n">
        <x:v>173</x:v>
      </x:c>
      <x:c r="B179" t="str">
        <x:v>Level1Techs</x:v>
      </x:c>
      <x:c r="C179" t="str">
        <x:v>@Level1Techs</x:v>
      </x:c>
      <x:c r="D179" s="26" t="str">
        <x:f>IF(OR(COUNTIF('Current Subscriptions'!$B$7:$B$83,B179)&gt;0,COUNTIF('Current Subscriptions'!$C$7:$C$83,C179)&gt;0),"Yes","No")</x:f>
        <x:v>No</x:v>
      </x:c>
      <x:c r="E179" s="26" t="n">
        <x:f>COUNTIF('Home Feed'!$E$7:$E$235,B179)</x:f>
        <x:v>1</x:v>
      </x:c>
      <x:c r="F179" s="26" t="n">
        <x:f>MINIFS('Home Feed'!$A$7:$A$235,'Home Feed'!$E$7:$E$235,B179)</x:f>
        <x:v>209</x:v>
      </x:c>
      <x:c r="G179" t="str">
        <x:v>Video</x:v>
      </x:c>
      <x:c r="H179" s="27" t="str">
        <x:f>XLOOKUP(B179,'Home Feed'!$E$7:$E$235,'Home Feed'!$C$7:$C$235,"")</x:f>
        <x:v>Getting the Same Results with Smaller "Cheaper" Dual Sparks AI as the More Expensive Clusters</x:v>
      </x:c>
      <x:c r="I179" s="96" t="str">
        <x:v>https://www.youtube.com/@Level1Techs</x:v>
      </x:c>
    </x:row>
    <x:row r="180" ht="32" customHeight="1">
      <x:c r="A180" s="26" t="n">
        <x:v>174</x:v>
      </x:c>
      <x:c r="B180" t="str">
        <x:v>Tsoding</x:v>
      </x:c>
      <x:c r="C180" t="str">
        <x:v>@Tsoding</x:v>
      </x:c>
      <x:c r="D180" s="26" t="str">
        <x:f>IF(OR(COUNTIF('Current Subscriptions'!$B$7:$B$83,B180)&gt;0,COUNTIF('Current Subscriptions'!$C$7:$C$83,C180)&gt;0),"Yes","No")</x:f>
        <x:v>No</x:v>
      </x:c>
      <x:c r="E180" s="26" t="n">
        <x:f>COUNTIF('Home Feed'!$E$7:$E$235,B180)</x:f>
        <x:v>1</x:v>
      </x:c>
      <x:c r="F180" s="26" t="n">
        <x:f>MINIFS('Home Feed'!$A$7:$A$235,'Home Feed'!$E$7:$E$235,B180)</x:f>
        <x:v>210</x:v>
      </x:c>
      <x:c r="G180" t="str">
        <x:v>Video</x:v>
      </x:c>
      <x:c r="H180" s="27" t="str">
        <x:f>XLOOKUP(B180,'Home Feed'!$E$7:$E$235,'Home Feed'!$C$7:$C$235,"")</x:f>
        <x:v>Graphics API is irrelevant</x:v>
      </x:c>
      <x:c r="I180" s="96" t="str">
        <x:v>https://www.youtube.com/@Tsoding</x:v>
      </x:c>
    </x:row>
    <x:row r="181" ht="32" customHeight="1">
      <x:c r="A181" s="26" t="n">
        <x:v>175</x:v>
      </x:c>
      <x:c r="B181" t="str">
        <x:v>Bonjour Brilliant</x:v>
      </x:c>
      <x:c r="C181" t="str">
        <x:v>@BonjourBrilliant</x:v>
      </x:c>
      <x:c r="D181" s="26" t="str">
        <x:f>IF(OR(COUNTIF('Current Subscriptions'!$B$7:$B$83,B181)&gt;0,COUNTIF('Current Subscriptions'!$C$7:$C$83,C181)&gt;0),"Yes","No")</x:f>
        <x:v>No</x:v>
      </x:c>
      <x:c r="E181" s="26" t="n">
        <x:f>COUNTIF('Home Feed'!$E$7:$E$235,B181)</x:f>
        <x:v>1</x:v>
      </x:c>
      <x:c r="F181" s="26" t="n">
        <x:f>MINIFS('Home Feed'!$A$7:$A$235,'Home Feed'!$E$7:$E$235,B181)</x:f>
        <x:v>211</x:v>
      </x:c>
      <x:c r="G181" t="str">
        <x:v>Video</x:v>
      </x:c>
      <x:c r="H181" s="27" t="str">
        <x:f>XLOOKUP(B181,'Home Feed'!$E$7:$E$235,'Home Feed'!$C$7:$C$235,"")</x:f>
        <x:v>Sound More French: Accent Training with the Shadowing Technique</x:v>
      </x:c>
      <x:c r="I181" s="96" t="str">
        <x:v>https://www.youtube.com/@BonjourBrilliant</x:v>
      </x:c>
    </x:row>
    <x:row r="182" ht="32" customHeight="1">
      <x:c r="A182" s="26" t="n">
        <x:v>176</x:v>
      </x:c>
      <x:c r="B182" t="str">
        <x:v>Talk in French</x:v>
      </x:c>
      <x:c r="C182" t="str">
        <x:v>@talkinfrench</x:v>
      </x:c>
      <x:c r="D182" s="26" t="str">
        <x:f>IF(OR(COUNTIF('Current Subscriptions'!$B$7:$B$83,B182)&gt;0,COUNTIF('Current Subscriptions'!$C$7:$C$83,C182)&gt;0),"Yes","No")</x:f>
        <x:v>No</x:v>
      </x:c>
      <x:c r="E182" s="26" t="n">
        <x:f>COUNTIF('Home Feed'!$E$7:$E$235,B182)</x:f>
        <x:v>1</x:v>
      </x:c>
      <x:c r="F182" s="26" t="n">
        <x:f>MINIFS('Home Feed'!$A$7:$A$235,'Home Feed'!$E$7:$E$235,B182)</x:f>
        <x:v>215</x:v>
      </x:c>
      <x:c r="G182" t="str">
        <x:v>Video</x:v>
      </x:c>
      <x:c r="H182" s="27" t="str">
        <x:f>XLOOKUP(B182,'Home Feed'!$E$7:$E$235,'Home Feed'!$C$7:$C$235,"")</x:f>
        <x:v>STOP saying “Moi aussi” in French (and what to say instead)</x:v>
      </x:c>
      <x:c r="I182" s="96" t="str">
        <x:v>https://www.youtube.com/@talkinfrench</x:v>
      </x:c>
    </x:row>
    <x:row r="183" ht="32" customHeight="1">
      <x:c r="A183" s="26" t="n">
        <x:v>177</x:v>
      </x:c>
      <x:c r="B183" t="str">
        <x:v>French With Panache</x:v>
      </x:c>
      <x:c r="C183" t="str">
        <x:v>@FrenchWithPanache</x:v>
      </x:c>
      <x:c r="D183" s="26" t="str">
        <x:f>IF(OR(COUNTIF('Current Subscriptions'!$B$7:$B$83,B183)&gt;0,COUNTIF('Current Subscriptions'!$C$7:$C$83,C183)&gt;0),"Yes","No")</x:f>
        <x:v>No</x:v>
      </x:c>
      <x:c r="E183" s="26" t="n">
        <x:f>COUNTIF('Home Feed'!$E$7:$E$235,B183)</x:f>
        <x:v>1</x:v>
      </x:c>
      <x:c r="F183" s="26" t="n">
        <x:f>MINIFS('Home Feed'!$A$7:$A$235,'Home Feed'!$E$7:$E$235,B183)</x:f>
        <x:v>216</x:v>
      </x:c>
      <x:c r="G183" t="str">
        <x:v>Video</x:v>
      </x:c>
      <x:c r="H183" s="27" t="str">
        <x:f>XLOOKUP(B183,'Home Feed'!$E$7:$E$235,'Home Feed'!$C$7:$C$235,"")</x:f>
        <x:v>Everything We Learned About Language Learning This Summer [101]</x:v>
      </x:c>
      <x:c r="I183" s="96" t="str">
        <x:v>https://www.youtube.com/@FrenchWithPanache</x:v>
      </x:c>
    </x:row>
    <x:row r="184" ht="32" customHeight="1">
      <x:c r="A184" s="26" t="n">
        <x:v>178</x:v>
      </x:c>
      <x:c r="B184" t="str">
        <x:v>Dr Jared Jones</x:v>
      </x:c>
      <x:c r="C184" t="str">
        <x:v>@drjaredjones</x:v>
      </x:c>
      <x:c r="D184" s="26" t="str">
        <x:f>IF(OR(COUNTIF('Current Subscriptions'!$B$7:$B$83,B184)&gt;0,COUNTIF('Current Subscriptions'!$C$7:$C$83,C184)&gt;0),"Yes","No")</x:f>
        <x:v>No</x:v>
      </x:c>
      <x:c r="E184" s="26" t="n">
        <x:f>COUNTIF('Home Feed'!$E$7:$E$235,B184)</x:f>
        <x:v>1</x:v>
      </x:c>
      <x:c r="F184" s="26" t="n">
        <x:f>MINIFS('Home Feed'!$A$7:$A$235,'Home Feed'!$E$7:$E$235,B184)</x:f>
        <x:v>220</x:v>
      </x:c>
      <x:c r="G184" t="str">
        <x:v>Video</x:v>
      </x:c>
      <x:c r="H184" s="27" t="str">
        <x:f>XLOOKUP(B184,'Home Feed'!$E$7:$E$235,'Home Feed'!$C$7:$C$235,"")</x:f>
        <x:v>Buddhist PhD | Ask Me Anything (Session 17)</x:v>
      </x:c>
      <x:c r="I184" s="96" t="str">
        <x:v>https://www.youtube.com/@drjaredjones</x:v>
      </x:c>
    </x:row>
    <x:row r="185" ht="32" customHeight="1">
      <x:c r="A185" s="26" t="n">
        <x:v>179</x:v>
      </x:c>
      <x:c r="B185" t="str">
        <x:v>The Action Lab</x:v>
      </x:c>
      <x:c r="C185" t="str">
        <x:v>@TheActionLab</x:v>
      </x:c>
      <x:c r="D185" s="26" t="str">
        <x:f>IF(OR(COUNTIF('Current Subscriptions'!$B$7:$B$83,B185)&gt;0,COUNTIF('Current Subscriptions'!$C$7:$C$83,C185)&gt;0),"Yes","No")</x:f>
        <x:v>No</x:v>
      </x:c>
      <x:c r="E185" s="26" t="n">
        <x:f>COUNTIF('Home Feed'!$E$7:$E$235,B185)</x:f>
        <x:v>1</x:v>
      </x:c>
      <x:c r="F185" s="26" t="n">
        <x:f>MINIFS('Home Feed'!$A$7:$A$235,'Home Feed'!$E$7:$E$235,B185)</x:f>
        <x:v>222</x:v>
      </x:c>
      <x:c r="G185" t="str">
        <x:v>Video</x:v>
      </x:c>
      <x:c r="H185" s="27" t="str">
        <x:f>XLOOKUP(B185,'Home Feed'!$E$7:$E$235,'Home Feed'!$C$7:$C$235,"")</x:f>
        <x:v>I Charged My Phone With a Candle</x:v>
      </x:c>
      <x:c r="I185" s="96" t="str">
        <x:v>https://www.youtube.com/@TheActionLab</x:v>
      </x:c>
    </x:row>
    <x:row r="186" ht="32" customHeight="1">
      <x:c r="A186" s="26" t="n">
        <x:v>180</x:v>
      </x:c>
      <x:c r="B186" t="str">
        <x:v>Hardware Haven</x:v>
      </x:c>
      <x:c r="C186" t="str">
        <x:v>@HardwareHaven</x:v>
      </x:c>
      <x:c r="D186" s="26" t="str">
        <x:f>IF(OR(COUNTIF('Current Subscriptions'!$B$7:$B$83,B186)&gt;0,COUNTIF('Current Subscriptions'!$C$7:$C$83,C186)&gt;0),"Yes","No")</x:f>
        <x:v>No</x:v>
      </x:c>
      <x:c r="E186" s="26" t="n">
        <x:f>COUNTIF('Home Feed'!$E$7:$E$235,B186)</x:f>
        <x:v>1</x:v>
      </x:c>
      <x:c r="F186" s="26" t="n">
        <x:f>MINIFS('Home Feed'!$A$7:$A$235,'Home Feed'!$E$7:$E$235,B186)</x:f>
        <x:v>224</x:v>
      </x:c>
      <x:c r="G186" t="str">
        <x:v>Video</x:v>
      </x:c>
      <x:c r="H186" s="27" t="str">
        <x:f>XLOOKUP(B186,'Home Feed'!$E$7:$E$235,'Home Feed'!$C$7:$C$235,"")</x:f>
        <x:v>I didn't want to buy a console, so I built this.</x:v>
      </x:c>
      <x:c r="I186" s="96" t="str">
        <x:v>https://www.youtube.com/@HardwareHaven</x:v>
      </x:c>
    </x:row>
    <x:row r="187" ht="32" customHeight="1">
      <x:c r="A187" s="26" t="n">
        <x:v>181</x:v>
      </x:c>
      <x:c r="B187" t="str">
        <x:v>Thinking different.</x:v>
      </x:c>
      <x:c r="C187" t="str">
        <x:v>@ThinkingDifferent-YT</x:v>
      </x:c>
      <x:c r="D187" s="26" t="str">
        <x:f>IF(OR(COUNTIF('Current Subscriptions'!$B$7:$B$83,B187)&gt;0,COUNTIF('Current Subscriptions'!$C$7:$C$83,C187)&gt;0),"Yes","No")</x:f>
        <x:v>No</x:v>
      </x:c>
      <x:c r="E187" s="26" t="n">
        <x:f>COUNTIF('Home Feed'!$E$7:$E$235,B187)</x:f>
        <x:v>1</x:v>
      </x:c>
      <x:c r="F187" s="26" t="n">
        <x:f>MINIFS('Home Feed'!$A$7:$A$235,'Home Feed'!$E$7:$E$235,B187)</x:f>
        <x:v>226</x:v>
      </x:c>
      <x:c r="G187" t="str">
        <x:v>Video</x:v>
      </x:c>
      <x:c r="H187" s="27" t="str">
        <x:f>XLOOKUP(B187,'Home Feed'!$E$7:$E$235,'Home Feed'!$C$7:$C$235,"")</x:f>
        <x:v>It really is time to try Linux.</x:v>
      </x:c>
      <x:c r="I187" s="96" t="str">
        <x:v>https://www.youtube.com/@ThinkingDifferent-YT</x:v>
      </x:c>
    </x:row>
    <x:row r="188" ht="32" customHeight="1">
      <x:c r="A188" s="26" t="n">
        <x:v>182</x:v>
      </x:c>
      <x:c r="B188" t="str">
        <x:v>KEXP</x:v>
      </x:c>
      <x:c r="C188" t="str">
        <x:v>@kexp</x:v>
      </x:c>
      <x:c r="D188" s="26" t="str">
        <x:f>IF(OR(COUNTIF('Current Subscriptions'!$B$7:$B$83,B188)&gt;0,COUNTIF('Current Subscriptions'!$C$7:$C$83,C188)&gt;0),"Yes","No")</x:f>
        <x:v>No</x:v>
      </x:c>
      <x:c r="E188" s="26" t="n">
        <x:f>COUNTIF('Home Feed'!$E$7:$E$235,B188)</x:f>
        <x:v>1</x:v>
      </x:c>
      <x:c r="F188" s="26" t="n">
        <x:f>MINIFS('Home Feed'!$A$7:$A$235,'Home Feed'!$E$7:$E$235,B188)</x:f>
        <x:v>227</x:v>
      </x:c>
      <x:c r="G188" t="str">
        <x:v>Video</x:v>
      </x:c>
      <x:c r="H188" s="27" t="str">
        <x:f>XLOOKUP(B188,'Home Feed'!$E$7:$E$235,'Home Feed'!$C$7:$C$235,"")</x:f>
        <x:v>Aurora - Full Performance (Live on KEXP)</x:v>
      </x:c>
      <x:c r="I188" s="96" t="str">
        <x:v>https://www.youtube.com/@kexp</x:v>
      </x:c>
    </x:row>
    <x:row r="189" ht="32" customHeight="1">
      <x:c r="A189" s="26" t="n">
        <x:v>183</x:v>
      </x:c>
      <x:c r="B189" t="str">
        <x:v>Brodie Robertson</x:v>
      </x:c>
      <x:c r="C189" t="str">
        <x:v>@BrodieRobertson</x:v>
      </x:c>
      <x:c r="D189" s="26" t="str">
        <x:f>IF(OR(COUNTIF('Current Subscriptions'!$B$7:$B$83,B189)&gt;0,COUNTIF('Current Subscriptions'!$C$7:$C$83,C189)&gt;0),"Yes","No")</x:f>
        <x:v>No</x:v>
      </x:c>
      <x:c r="E189" s="26" t="n">
        <x:f>COUNTIF('Home Feed'!$E$7:$E$235,B189)</x:f>
        <x:v>1</x:v>
      </x:c>
      <x:c r="F189" s="26" t="n">
        <x:f>MINIFS('Home Feed'!$A$7:$A$235,'Home Feed'!$E$7:$E$235,B189)</x:f>
        <x:v>228</x:v>
      </x:c>
      <x:c r="G189" t="str">
        <x:v>Video</x:v>
      </x:c>
      <x:c r="H189" s="27" t="str">
        <x:f>XLOOKUP(B189,'Home Feed'!$E$7:$E$235,'Home Feed'!$C$7:$C$235,"")</x:f>
        <x:v>Omarchy's $8,000,000 Gamble On The Linux Desktop</x:v>
      </x:c>
      <x:c r="I189" s="96" t="str">
        <x:v>https://www.youtube.com/@BrodieRobertson</x:v>
      </x:c>
    </x:row>
    <x:row r="190" ht="32" customHeight="1">
      <x:c r="A190" s="26" t="n">
        <x:v>184</x:v>
      </x:c>
      <x:c r="B190" t="str">
        <x:v>Doug's Dharma</x:v>
      </x:c>
      <x:c r="C190" t="str">
        <x:v>@DougsDharma</x:v>
      </x:c>
      <x:c r="D190" s="26" t="str">
        <x:f>IF(OR(COUNTIF('Current Subscriptions'!$B$7:$B$83,B190)&gt;0,COUNTIF('Current Subscriptions'!$C$7:$C$83,C190)&gt;0),"Yes","No")</x:f>
        <x:v>Yes</x:v>
      </x:c>
      <x:c r="E190" s="26" t="n">
        <x:f>COUNTIF('Home Feed'!$E$7:$E$235,B190)</x:f>
        <x:v>4</x:v>
      </x:c>
      <x:c r="F190" s="26" t="n">
        <x:f>MINIFS('Home Feed'!$A$7:$A$235,'Home Feed'!$E$7:$E$235,B190)</x:f>
        <x:v>33</x:v>
      </x:c>
      <x:c r="G190" t="str">
        <x:v>Mix, Video</x:v>
      </x:c>
      <x:c r="H190" s="27" t="str">
        <x:f>XLOOKUP(B190,'Home Feed'!$E$7:$E$235,'Home Feed'!$C$7:$C$235,"")</x:f>
        <x:v>The Art of Letting Go: Early Buddhist Teachings for Everyday Life</x:v>
      </x:c>
      <x:c r="I190" s="96" t="str">
        <x:v>https://www.youtube.com/@DougsDharma</x:v>
      </x:c>
    </x:row>
    <x:row r="191" ht="32" customHeight="1">
      <x:c r="A191" s="26" t="n">
        <x:v>185</x:v>
      </x:c>
      <x:c r="B191" t="str">
        <x:v>A Life Engineered</x:v>
      </x:c>
      <x:c r="C191" t="str">
        <x:v>@ALifeEngineered</x:v>
      </x:c>
      <x:c r="D191" s="26" t="str">
        <x:f>IF(OR(COUNTIF('Current Subscriptions'!$B$7:$B$83,B191)&gt;0,COUNTIF('Current Subscriptions'!$C$7:$C$83,C191)&gt;0),"Yes","No")</x:f>
        <x:v>Yes</x:v>
      </x:c>
      <x:c r="E191" s="26" t="n">
        <x:f>COUNTIF('Home Feed'!$E$7:$E$235,B191)</x:f>
        <x:v>2</x:v>
      </x:c>
      <x:c r="F191" s="26" t="n">
        <x:f>MINIFS('Home Feed'!$A$7:$A$235,'Home Feed'!$E$7:$E$235,B191)</x:f>
        <x:v>25</x:v>
      </x:c>
      <x:c r="G191" t="str">
        <x:v>Video</x:v>
      </x:c>
      <x:c r="H191" s="27" t="str">
        <x:f>XLOOKUP(B191,'Home Feed'!$E$7:$E$235,'Home Feed'!$C$7:$C$235,"")</x:f>
        <x:v>Why People Are INVISIBLE To Leaders And How To Fix It | Ethan Evans</x:v>
      </x:c>
      <x:c r="I191" s="96" t="str">
        <x:v>https://www.youtube.com/@ALifeEngineered</x:v>
      </x:c>
    </x:row>
    <x:row r="192" ht="32" customHeight="1">
      <x:c r="A192" s="26" t="n">
        <x:v>186</x:v>
      </x:c>
      <x:c r="B192" t="str">
        <x:v>ThePrimeagen</x:v>
      </x:c>
      <x:c r="C192" t="str">
        <x:v>@ThePrimeagen</x:v>
      </x:c>
      <x:c r="D192" s="26" t="str">
        <x:f>IF(OR(COUNTIF('Current Subscriptions'!$B$7:$B$83,B192)&gt;0,COUNTIF('Current Subscriptions'!$C$7:$C$83,C192)&gt;0),"Yes","No")</x:f>
        <x:v>Yes</x:v>
      </x:c>
      <x:c r="E192" s="26" t="n">
        <x:f>COUNTIF('Home Feed'!$E$7:$E$235,B192)</x:f>
        <x:v>2</x:v>
      </x:c>
      <x:c r="F192" s="26" t="n">
        <x:f>MINIFS('Home Feed'!$A$7:$A$235,'Home Feed'!$E$7:$E$235,B192)</x:f>
        <x:v>86</x:v>
      </x:c>
      <x:c r="G192" t="str">
        <x:v>Mix, Video</x:v>
      </x:c>
      <x:c r="H192" s="27" t="str">
        <x:f>XLOOKUP(B192,'Home Feed'!$E$7:$E$235,'Home Feed'!$C$7:$C$235,"")</x:f>
        <x:v>I learned Odin</x:v>
      </x:c>
      <x:c r="I192" s="96" t="str">
        <x:v>https://www.youtube.com/@ThePrimeagen</x:v>
      </x:c>
    </x:row>
    <x:row r="193" ht="32" customHeight="1">
      <x:c r="A193" s="26" t="n">
        <x:v>187</x:v>
      </x:c>
      <x:c r="B193" t="str">
        <x:v>Fireship</x:v>
      </x:c>
      <x:c r="C193" t="str">
        <x:v>@Fireship</x:v>
      </x:c>
      <x:c r="D193" s="26" t="str">
        <x:f>IF(OR(COUNTIF('Current Subscriptions'!$B$7:$B$83,B193)&gt;0,COUNTIF('Current Subscriptions'!$C$7:$C$83,C193)&gt;0),"Yes","No")</x:f>
        <x:v>Yes</x:v>
      </x:c>
      <x:c r="E193" s="26" t="n">
        <x:f>COUNTIF('Home Feed'!$E$7:$E$235,B193)</x:f>
        <x:v>1</x:v>
      </x:c>
      <x:c r="F193" s="26" t="n">
        <x:f>MINIFS('Home Feed'!$A$7:$A$235,'Home Feed'!$E$7:$E$235,B193)</x:f>
        <x:v>13</x:v>
      </x:c>
      <x:c r="G193" t="str">
        <x:v>Video</x:v>
      </x:c>
      <x:c r="H193" s="27" t="str">
        <x:f>XLOOKUP(B193,'Home Feed'!$E$7:$E$235,'Home Feed'!$C$7:$C$235,"")</x:f>
        <x:v>There's a new Linux distro in town for developers...</x:v>
      </x:c>
      <x:c r="I193" s="96" t="str">
        <x:v>https://www.youtube.com/@Fireship</x:v>
      </x:c>
    </x:row>
    <x:row r="194" ht="32" customHeight="1">
      <x:c r="A194" s="26" t="n">
        <x:v>188</x:v>
      </x:c>
      <x:c r="B194" t="str">
        <x:v>PewDiePie</x:v>
      </x:c>
      <x:c r="C194" t="str">
        <x:v>@PewDiePie</x:v>
      </x:c>
      <x:c r="D194" s="26" t="str">
        <x:f>IF(OR(COUNTIF('Current Subscriptions'!$B$7:$B$83,B194)&gt;0,COUNTIF('Current Subscriptions'!$C$7:$C$83,C194)&gt;0),"Yes","No")</x:f>
        <x:v>Yes</x:v>
      </x:c>
      <x:c r="E194" s="26" t="n">
        <x:f>COUNTIF('Home Feed'!$E$7:$E$235,B194)</x:f>
        <x:v>1</x:v>
      </x:c>
      <x:c r="F194" s="26" t="n">
        <x:f>MINIFS('Home Feed'!$A$7:$A$235,'Home Feed'!$E$7:$E$235,B194)</x:f>
        <x:v>77</x:v>
      </x:c>
      <x:c r="G194" t="str">
        <x:v>Video</x:v>
      </x:c>
      <x:c r="H194" s="27" t="str">
        <x:f>XLOOKUP(B194,'Home Feed'!$E$7:$E$235,'Home Feed'!$C$7:$C$235,"")</x:f>
        <x:v>Giving you guys a chance....</x:v>
      </x:c>
      <x:c r="I194" s="96" t="str">
        <x:v>https://www.youtube.com/@PewDiePie</x:v>
      </x:c>
    </x:row>
    <x:row r="195" ht="32" customHeight="1">
      <x:c r="A195" s="26" t="n">
        <x:v>189</x:v>
      </x:c>
      <x:c r="B195" t="str">
        <x:v>/noclip</x:v>
      </x:c>
      <x:c r="C195" t="str">
        <x:v>@NoclipDocs</x:v>
      </x:c>
      <x:c r="D195" s="26" t="str">
        <x:f>IF(OR(COUNTIF('Current Subscriptions'!$B$7:$B$83,B195)&gt;0,COUNTIF('Current Subscriptions'!$C$7:$C$83,C195)&gt;0),"Yes","No")</x:f>
        <x:v>Yes</x:v>
      </x:c>
      <x:c r="E195" s="26" t="n">
        <x:f>COUNTIF('Home Feed'!$E$7:$E$235,B195)</x:f>
        <x:v>1</x:v>
      </x:c>
      <x:c r="F195" s="26" t="n">
        <x:f>MINIFS('Home Feed'!$A$7:$A$235,'Home Feed'!$E$7:$E$235,B195)</x:f>
        <x:v>177</x:v>
      </x:c>
      <x:c r="G195" t="str">
        <x:v>Video</x:v>
      </x:c>
      <x:c r="H195" s="27" t="str">
        <x:f>XLOOKUP(B195,'Home Feed'!$E$7:$E$235,'Home Feed'!$C$7:$C$235,"")</x:f>
        <x:v>Remembering 10 Years of /noclip</x:v>
      </x:c>
      <x:c r="I195" s="96" t="str">
        <x:v>https://www.youtube.com/@NoclipDocs</x:v>
      </x:c>
    </x:row>
    <x:row r="196" ht="32" customHeight="1">
      <x:c r="A196" s="26" t="n">
        <x:v>190</x:v>
      </x:c>
      <x:c r="B196" t="str">
        <x:v>NetworkChuck</x:v>
      </x:c>
      <x:c r="C196" t="str">
        <x:v>@NetworkChuck</x:v>
      </x:c>
      <x:c r="D196" s="26" t="str">
        <x:f>IF(OR(COUNTIF('Current Subscriptions'!$B$7:$B$83,B196)&gt;0,COUNTIF('Current Subscriptions'!$C$7:$C$83,C196)&gt;0),"Yes","No")</x:f>
        <x:v>Yes</x:v>
      </x:c>
      <x:c r="E196" s="26" t="n">
        <x:f>COUNTIF('Home Feed'!$E$7:$E$235,B196)</x:f>
        <x:v>1</x:v>
      </x:c>
      <x:c r="F196" s="26" t="n">
        <x:f>MINIFS('Home Feed'!$A$7:$A$235,'Home Feed'!$E$7:$E$235,B196)</x:f>
        <x:v>195</x:v>
      </x:c>
      <x:c r="G196" t="str">
        <x:v>Video</x:v>
      </x:c>
      <x:c r="H196" s="27" t="str">
        <x:f>XLOOKUP(B196,'Home Feed'!$E$7:$E$235,'Home Feed'!$C$7:$C$235,"")</x:f>
        <x:v>You need to switch to Linux RIGHT NOW!!</x:v>
      </x:c>
      <x:c r="I196" s="96" t="str">
        <x:v>https://www.youtube.com/@NetworkChuck</x:v>
      </x:c>
    </x:row>
    <x:row r="197" ht="32" customHeight="1">
      <x:c r="A197" s="26" t="n">
        <x:v>191</x:v>
      </x:c>
      <x:c r="B197" t="str">
        <x:v>ForrestKnight</x:v>
      </x:c>
      <x:c r="C197" t="str">
        <x:v>@fknight</x:v>
      </x:c>
      <x:c r="D197" s="26" t="str">
        <x:f>IF(OR(COUNTIF('Current Subscriptions'!$B$7:$B$83,B197)&gt;0,COUNTIF('Current Subscriptions'!$C$7:$C$83,C197)&gt;0),"Yes","No")</x:f>
        <x:v>Yes</x:v>
      </x:c>
      <x:c r="E197" s="26" t="n">
        <x:f>COUNTIF('Home Feed'!$E$7:$E$235,B197)</x:f>
        <x:v>1</x:v>
      </x:c>
      <x:c r="F197" s="26" t="n">
        <x:f>MINIFS('Home Feed'!$A$7:$A$235,'Home Feed'!$E$7:$E$235,B197)</x:f>
        <x:v>219</x:v>
      </x:c>
      <x:c r="G197" t="str">
        <x:v>Video</x:v>
      </x:c>
      <x:c r="H197" s="27" t="str">
        <x:f>XLOOKUP(B197,'Home Feed'!$E$7:$E$235,'Home Feed'!$C$7:$C$235,"")</x:f>
        <x:v>AI Has Broken Open Source</x:v>
      </x:c>
      <x:c r="I197" s="96" t="str">
        <x:v>https://www.youtube.com/@fknight</x:v>
      </x:c>
    </x:row>
    <x:row r="198" ht="32" customHeight="1">
      <x:c r="A198" s="26" t="n">
        <x:v>192</x:v>
      </x:c>
      <x:c r="B198" t="str">
        <x:v>Linus Tech Tips</x:v>
      </x:c>
      <x:c r="C198" t="str">
        <x:v>@LinusTechTips</x:v>
      </x:c>
      <x:c r="D198" s="26" t="str">
        <x:f>IF(OR(COUNTIF('Current Subscriptions'!$B$7:$B$83,B198)&gt;0,COUNTIF('Current Subscriptions'!$C$7:$C$83,C198)&gt;0),"Yes","No")</x:f>
        <x:v>Yes</x:v>
      </x:c>
      <x:c r="E198" s="26" t="n">
        <x:f>COUNTIF('Home Feed'!$E$7:$E$235,B198)</x:f>
        <x:v>1</x:v>
      </x:c>
      <x:c r="F198" s="26" t="n">
        <x:f>MINIFS('Home Feed'!$A$7:$A$235,'Home Feed'!$E$7:$E$235,B198)</x:f>
        <x:v>225</x:v>
      </x:c>
      <x:c r="G198" t="str">
        <x:v>Video</x:v>
      </x:c>
      <x:c r="H198" s="27" t="str">
        <x:f>XLOOKUP(B198,'Home Feed'!$E$7:$E$235,'Home Feed'!$C$7:$C$235,"")</x:f>
        <x:v>Valve Accidentally Made the Best Desktop PC I’ve Ever Used</x:v>
      </x:c>
      <x:c r="I198" s="96" t="str">
        <x:v>https://www.youtube.com/@LinusTechTips</x:v>
      </x:c>
    </x:row>
  </x:sheetData>
  <x:mergeCells>
    <x:mergeCell ref="A1:I1"/>
    <x:mergeCell ref="A2:I2"/>
    <x:mergeCell ref="A4:I4"/>
  </x:mergeCells>
  <x:conditionalFormatting sqref="D7:D198">
    <x:cfRule type="containsText" dxfId="0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6a9d670218c243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30" hidden="0" customWidth="1"/>
    <x:col min="4" max="4" width="52" hidden="0" customWidth="1"/>
  </x:cols>
  <x:sheetData>
    <x:row r="1" ht="34" customHeight="1">
      <x:c r="A1" s="94" t="str">
        <x:v>Current Subscriptions — Matching Reference</x:v>
      </x:c>
      <x:c r="B1" s="94"/>
      <x:c r="C1" s="94"/>
      <x:c r="D1" s="94"/>
    </x:row>
    <x:row r="2" ht="22" customHeight="1">
      <x:c r="A2" s="5" t="str">
        <x:v>The 77-channel subscription snapshot used to label recommendations as existing or adjacent.</x:v>
      </x:c>
      <x:c r="B2" s="5"/>
      <x:c r="C2" s="5"/>
      <x:c r="D2" s="5"/>
    </x:row>
    <x:row r="6">
      <x:c r="A6" t="str">
        <x:v>#</x:v>
      </x:c>
      <x:c r="B6" t="str">
        <x:v>Channel</x:v>
      </x:c>
      <x:c r="C6" t="str">
        <x:v>Handle</x:v>
      </x:c>
      <x:c r="D6" t="str">
        <x:v>Channel URL</x:v>
      </x:c>
    </x:row>
    <x:row r="7" ht="21" customHeight="1">
      <x:c r="A7" s="26" t="n">
        <x:v>1</x:v>
      </x:c>
      <x:c r="B7" t="str">
        <x:v>Alex Hormozi</x:v>
      </x:c>
      <x:c r="C7" t="str">
        <x:v>@AlexHormozi</x:v>
      </x:c>
      <x:c r="D7" s="96" t="str">
        <x:v>https://www.youtube.com/@AlexHormozi</x:v>
      </x:c>
    </x:row>
    <x:row r="8" ht="21" customHeight="1">
      <x:c r="A8" s="26" t="n">
        <x:v>2</x:v>
      </x:c>
      <x:c r="B8" t="str">
        <x:v>Le Monde</x:v>
      </x:c>
      <x:c r="C8" t="str">
        <x:v>@lemondefr</x:v>
      </x:c>
      <x:c r="D8" s="96" t="str">
        <x:v>https://www.youtube.com/@lemondefr</x:v>
      </x:c>
    </x:row>
    <x:row r="9" ht="21" customHeight="1">
      <x:c r="A9" s="26" t="n">
        <x:v>3</x:v>
      </x:c>
      <x:c r="B9" t="str">
        <x:v>Linus Tech Tips</x:v>
      </x:c>
      <x:c r="C9" t="str">
        <x:v>@LinusTechTips</x:v>
      </x:c>
      <x:c r="D9" s="96" t="str">
        <x:v>https://www.youtube.com/@LinusTechTips</x:v>
      </x:c>
    </x:row>
    <x:row r="10" ht="21" customHeight="1">
      <x:c r="A10" s="26" t="n">
        <x:v>4</x:v>
      </x:c>
      <x:c r="B10" t="str">
        <x:v>i2c_jason</x:v>
      </x:c>
      <x:c r="C10" t="str">
        <x:v>@i2c_jason</x:v>
      </x:c>
      <x:c r="D10" s="96" t="str">
        <x:v>https://www.youtube.com/@i2c_jason</x:v>
      </x:c>
    </x:row>
    <x:row r="11" ht="21" customHeight="1">
      <x:c r="A11" s="26" t="n">
        <x:v>5</x:v>
      </x:c>
      <x:c r="B11" t="str">
        <x:v>Mina Le</x:v>
      </x:c>
      <x:c r="C11" t="str">
        <x:v>@gremlita</x:v>
      </x:c>
      <x:c r="D11" s="96" t="str">
        <x:v>https://www.youtube.com/@gremlita</x:v>
      </x:c>
    </x:row>
    <x:row r="12" ht="21" customHeight="1">
      <x:c r="A12" s="26" t="n">
        <x:v>6</x:v>
      </x:c>
      <x:c r="B12" t="str">
        <x:v>freeCodeCamp.org</x:v>
      </x:c>
      <x:c r="C12" t="str">
        <x:v>@freecodecamp</x:v>
      </x:c>
      <x:c r="D12" s="96" t="str">
        <x:v>https://www.youtube.com/@freecodecamp</x:v>
      </x:c>
    </x:row>
    <x:row r="13" ht="21" customHeight="1">
      <x:c r="A13" s="26" t="n">
        <x:v>7</x:v>
      </x:c>
      <x:c r="B13" t="str">
        <x:v>Fredrik Christenson</x:v>
      </x:c>
      <x:c r="C13" t="str">
        <x:v>@FredrikChristenson</x:v>
      </x:c>
      <x:c r="D13" s="96" t="str">
        <x:v>https://www.youtube.com/@FredrikChristenson</x:v>
      </x:c>
    </x:row>
    <x:row r="14" ht="21" customHeight="1">
      <x:c r="A14" s="26" t="n">
        <x:v>8</x:v>
      </x:c>
      <x:c r="B14" t="str">
        <x:v>Success By Emotions</x:v>
      </x:c>
      <x:c r="C14" t="str">
        <x:v>@BobRaybould</x:v>
      </x:c>
      <x:c r="D14" s="96" t="str">
        <x:v>https://www.youtube.com/@BobRaybould</x:v>
      </x:c>
    </x:row>
    <x:row r="15" ht="21" customHeight="1">
      <x:c r="A15" s="26" t="n">
        <x:v>9</x:v>
      </x:c>
      <x:c r="B15" t="str">
        <x:v>EmGi</x:v>
      </x:c>
      <x:c r="C15" t="str">
        <x:v>@EmGi_</x:v>
      </x:c>
      <x:c r="D15" s="96" t="str">
        <x:v>https://www.youtube.com/@EmGi_</x:v>
      </x:c>
    </x:row>
    <x:row r="16" ht="21" customHeight="1">
      <x:c r="A16" s="26" t="n">
        <x:v>10</x:v>
      </x:c>
      <x:c r="B16" t="str">
        <x:v>/noclip</x:v>
      </x:c>
      <x:c r="C16" t="str">
        <x:v>@NoclipDocs</x:v>
      </x:c>
      <x:c r="D16" s="96" t="str">
        <x:v>https://www.youtube.com/@NoclipDocs</x:v>
      </x:c>
    </x:row>
    <x:row r="17" ht="21" customHeight="1">
      <x:c r="A17" s="26" t="n">
        <x:v>11</x:v>
      </x:c>
      <x:c r="B17" t="str">
        <x:v>N74 🛠️</x:v>
      </x:c>
      <x:c r="C17" t="str">
        <x:v>@N74Bricolage</x:v>
      </x:c>
      <x:c r="D17" s="96" t="str">
        <x:v>https://www.youtube.com/@N74Bricolage</x:v>
      </x:c>
    </x:row>
    <x:row r="18" ht="21" customHeight="1">
      <x:c r="A18" s="26" t="n">
        <x:v>12</x:v>
      </x:c>
      <x:c r="B18" t="str">
        <x:v>Primal Space</x:v>
      </x:c>
      <x:c r="C18" t="str">
        <x:v>@primalspace</x:v>
      </x:c>
      <x:c r="D18" s="96" t="str">
        <x:v>https://www.youtube.com/@primalspace</x:v>
      </x:c>
    </x:row>
    <x:row r="19" ht="21" customHeight="1">
      <x:c r="A19" s="26" t="n">
        <x:v>13</x:v>
      </x:c>
      <x:c r="B19" t="str">
        <x:v>Jason Orlosky</x:v>
      </x:c>
      <x:c r="C19" t="str">
        <x:v>@jeoresearch</x:v>
      </x:c>
      <x:c r="D19" s="96" t="str">
        <x:v>https://www.youtube.com/@jeoresearch</x:v>
      </x:c>
    </x:row>
    <x:row r="20" ht="21" customHeight="1">
      <x:c r="A20" s="26" t="n">
        <x:v>14</x:v>
      </x:c>
      <x:c r="B20" t="str">
        <x:v>SB Skill</x:v>
      </x:c>
      <x:c r="C20" t="str">
        <x:v>@SBSkill</x:v>
      </x:c>
      <x:c r="D20" s="96" t="str">
        <x:v>https://www.youtube.com/@SBSkill</x:v>
      </x:c>
    </x:row>
    <x:row r="21" ht="21" customHeight="1">
      <x:c r="A21" s="26" t="n">
        <x:v>15</x:v>
      </x:c>
      <x:c r="B21" t="str">
        <x:v>Odysseas</x:v>
      </x:c>
      <x:c r="C21" t="str">
        <x:v>@odysseas__</x:v>
      </x:c>
      <x:c r="D21" s="96" t="str">
        <x:v>https://www.youtube.com/@odysseas__</x:v>
      </x:c>
    </x:row>
    <x:row r="22" ht="21" customHeight="1">
      <x:c r="A22" s="26" t="n">
        <x:v>16</x:v>
      </x:c>
      <x:c r="B22" t="str">
        <x:v>Zsolt's Visual Personal Knowledge Management</x:v>
      </x:c>
      <x:c r="C22" t="str">
        <x:v>@VisualPKM</x:v>
      </x:c>
      <x:c r="D22" s="96" t="str">
        <x:v>https://www.youtube.com/@VisualPKM</x:v>
      </x:c>
    </x:row>
    <x:row r="23" ht="21" customHeight="1">
      <x:c r="A23" s="26" t="n">
        <x:v>17</x:v>
      </x:c>
      <x:c r="B23" t="str">
        <x:v>ThePrimeagen</x:v>
      </x:c>
      <x:c r="C23" t="str">
        <x:v>@ThePrimeagen</x:v>
      </x:c>
      <x:c r="D23" s="96" t="str">
        <x:v>https://www.youtube.com/@ThePrimeagen</x:v>
      </x:c>
    </x:row>
    <x:row r="24" ht="21" customHeight="1">
      <x:c r="A24" s="26" t="n">
        <x:v>18</x:v>
      </x:c>
      <x:c r="B24" t="str">
        <x:v>Jamie's Brick Jams</x:v>
      </x:c>
      <x:c r="C24" t="str">
        <x:v>@JamiesBrickJams</x:v>
      </x:c>
      <x:c r="D24" s="96" t="str">
        <x:v>https://www.youtube.com/@JamiesBrickJams</x:v>
      </x:c>
    </x:row>
    <x:row r="25" ht="21" customHeight="1">
      <x:c r="A25" s="26" t="n">
        <x:v>19</x:v>
      </x:c>
      <x:c r="B25" t="str">
        <x:v>Current Concept</x:v>
      </x:c>
      <x:c r="C25" t="str">
        <x:v>@currentconcept</x:v>
      </x:c>
      <x:c r="D25" s="96" t="str">
        <x:v>https://www.youtube.com/@currentconcept</x:v>
      </x:c>
    </x:row>
    <x:row r="26" ht="21" customHeight="1">
      <x:c r="A26" s="26" t="n">
        <x:v>20</x:v>
      </x:c>
      <x:c r="B26" t="str">
        <x:v>Luke's Goldies</x:v>
      </x:c>
      <x:c r="C26" t="str">
        <x:v>@lukesgoldies</x:v>
      </x:c>
      <x:c r="D26" s="96" t="str">
        <x:v>https://www.youtube.com/@lukesgoldies</x:v>
      </x:c>
    </x:row>
    <x:row r="27" ht="21" customHeight="1">
      <x:c r="A27" s="26" t="n">
        <x:v>21</x:v>
      </x:c>
      <x:c r="B27" t="str">
        <x:v>Butterfly Spanish</x:v>
      </x:c>
      <x:c r="C27" t="str">
        <x:v>@ButterflySpanish</x:v>
      </x:c>
      <x:c r="D27" s="96" t="str">
        <x:v>https://www.youtube.com/@ButterflySpanish</x:v>
      </x:c>
    </x:row>
    <x:row r="28" ht="21" customHeight="1">
      <x:c r="A28" s="26" t="n">
        <x:v>22</x:v>
      </x:c>
      <x:c r="B28" t="str">
        <x:v>Medical Secrets</x:v>
      </x:c>
      <x:c r="C28" t="str">
        <x:v>@MedicalSecrets</x:v>
      </x:c>
      <x:c r="D28" s="96" t="str">
        <x:v>https://www.youtube.com/@MedicalSecrets</x:v>
      </x:c>
    </x:row>
    <x:row r="29" ht="21" customHeight="1">
      <x:c r="A29" s="26" t="n">
        <x:v>23</x:v>
      </x:c>
      <x:c r="B29" t="str">
        <x:v>leddoo</x:v>
      </x:c>
      <x:c r="C29" t="str">
        <x:v>@leddoo</x:v>
      </x:c>
      <x:c r="D29" s="96" t="str">
        <x:v>https://www.youtube.com/@leddoo</x:v>
      </x:c>
    </x:row>
    <x:row r="30" ht="21" customHeight="1">
      <x:c r="A30" s="26" t="n">
        <x:v>24</x:v>
      </x:c>
      <x:c r="B30" t="str">
        <x:v>A Life Engineered</x:v>
      </x:c>
      <x:c r="C30" t="str">
        <x:v>@ALifeEngineered</x:v>
      </x:c>
      <x:c r="D30" s="96" t="str">
        <x:v>https://www.youtube.com/@ALifeEngineered</x:v>
      </x:c>
    </x:row>
    <x:row r="31" ht="21" customHeight="1">
      <x:c r="A31" s="26" t="n">
        <x:v>25</x:v>
      </x:c>
      <x:c r="B31" t="str">
        <x:v>mitxela</x:v>
      </x:c>
      <x:c r="C31" t="str">
        <x:v>@mitxela</x:v>
      </x:c>
      <x:c r="D31" s="96" t="str">
        <x:v>https://www.youtube.com/@mitxela</x:v>
      </x:c>
    </x:row>
    <x:row r="32" ht="21" customHeight="1">
      <x:c r="A32" s="26" t="n">
        <x:v>26</x:v>
      </x:c>
      <x:c r="B32" t="str">
        <x:v>TechLead Show</x:v>
      </x:c>
      <x:c r="C32" t="str">
        <x:v>@TechLeadShow</x:v>
      </x:c>
      <x:c r="D32" s="96" t="str">
        <x:v>https://www.youtube.com/@TechLeadShow</x:v>
      </x:c>
    </x:row>
    <x:row r="33" ht="21" customHeight="1">
      <x:c r="A33" s="26" t="n">
        <x:v>27</x:v>
      </x:c>
      <x:c r="B33" t="str">
        <x:v>Jamstack TV</x:v>
      </x:c>
      <x:c r="C33" t="str">
        <x:v>@JamstackConf</x:v>
      </x:c>
      <x:c r="D33" s="96" t="str">
        <x:v>https://www.youtube.com/@JamstackConf</x:v>
      </x:c>
    </x:row>
    <x:row r="34" ht="21" customHeight="1">
      <x:c r="A34" s="26" t="n">
        <x:v>28</x:v>
      </x:c>
      <x:c r="B34" t="str">
        <x:v>Rahul Pandey</x:v>
      </x:c>
      <x:c r="C34" t="str">
        <x:v>@RahulPandeyrkp</x:v>
      </x:c>
      <x:c r="D34" s="96" t="str">
        <x:v>https://www.youtube.com/@RahulPandeyrkp</x:v>
      </x:c>
    </x:row>
    <x:row r="35" ht="21" customHeight="1">
      <x:c r="A35" s="26" t="n">
        <x:v>29</x:v>
      </x:c>
      <x:c r="B35" t="str">
        <x:v>CHVRCHES</x:v>
      </x:c>
      <x:c r="C35" t="str">
        <x:v>@CHVRCHES</x:v>
      </x:c>
      <x:c r="D35" s="96" t="str">
        <x:v>https://www.youtube.com/@CHVRCHES</x:v>
      </x:c>
    </x:row>
    <x:row r="36" ht="21" customHeight="1">
      <x:c r="A36" s="26" t="n">
        <x:v>30</x:v>
      </x:c>
      <x:c r="B36" t="str">
        <x:v>The Coding Train</x:v>
      </x:c>
      <x:c r="C36" t="str">
        <x:v>@TheCodingTrain</x:v>
      </x:c>
      <x:c r="D36" s="96" t="str">
        <x:v>https://www.youtube.com/@TheCodingTrain</x:v>
      </x:c>
    </x:row>
    <x:row r="37" ht="21" customHeight="1">
      <x:c r="A37" s="26" t="n">
        <x:v>31</x:v>
      </x:c>
      <x:c r="B37" t="str">
        <x:v>Seytonic</x:v>
      </x:c>
      <x:c r="C37" t="str">
        <x:v>@Seytonic</x:v>
      </x:c>
      <x:c r="D37" s="96" t="str">
        <x:v>https://www.youtube.com/@Seytonic</x:v>
      </x:c>
    </x:row>
    <x:row r="38" ht="21" customHeight="1">
      <x:c r="A38" s="26" t="n">
        <x:v>32</x:v>
      </x:c>
      <x:c r="B38" t="str">
        <x:v>Missing Semester</x:v>
      </x:c>
      <x:c r="C38" t="str">
        <x:v>@MissingSemester</x:v>
      </x:c>
      <x:c r="D38" s="96" t="str">
        <x:v>https://www.youtube.com/@MissingSemester</x:v>
      </x:c>
    </x:row>
    <x:row r="39" ht="21" customHeight="1">
      <x:c r="A39" s="26" t="n">
        <x:v>33</x:v>
      </x:c>
      <x:c r="B39" t="str">
        <x:v>innerFrench</x:v>
      </x:c>
      <x:c r="C39" t="str">
        <x:v>@innerFrench</x:v>
      </x:c>
      <x:c r="D39" s="96" t="str">
        <x:v>https://www.youtube.com/@innerFrench</x:v>
      </x:c>
    </x:row>
    <x:row r="40" ht="21" customHeight="1">
      <x:c r="A40" s="26" t="n">
        <x:v>34</x:v>
      </x:c>
      <x:c r="B40" t="str">
        <x:v>Branch Education</x:v>
      </x:c>
      <x:c r="C40" t="str">
        <x:v>@BranchEducation</x:v>
      </x:c>
      <x:c r="D40" s="96" t="str">
        <x:v>https://www.youtube.com/@BranchEducation</x:v>
      </x:c>
    </x:row>
    <x:row r="41" ht="21" customHeight="1">
      <x:c r="A41" s="26" t="n">
        <x:v>35</x:v>
      </x:c>
      <x:c r="B41" t="str">
        <x:v>Healthy Developer</x:v>
      </x:c>
      <x:c r="C41" t="str">
        <x:v>@HealthyDev</x:v>
      </x:c>
      <x:c r="D41" s="96" t="str">
        <x:v>https://www.youtube.com/@HealthyDev</x:v>
      </x:c>
    </x:row>
    <x:row r="42" ht="21" customHeight="1">
      <x:c r="A42" s="26" t="n">
        <x:v>36</x:v>
      </x:c>
      <x:c r="B42" t="str">
        <x:v>mayuko</x:v>
      </x:c>
      <x:c r="C42" t="str">
        <x:v>@hellomayuko</x:v>
      </x:c>
      <x:c r="D42" s="96" t="str">
        <x:v>https://www.youtube.com/@hellomayuko</x:v>
      </x:c>
    </x:row>
    <x:row r="43" ht="21" customHeight="1">
      <x:c r="A43" s="26" t="n">
        <x:v>37</x:v>
      </x:c>
      <x:c r="B43" t="str">
        <x:v>Nick White</x:v>
      </x:c>
      <x:c r="C43" t="str">
        <x:v>@NickWhite</x:v>
      </x:c>
      <x:c r="D43" s="96" t="str">
        <x:v>https://www.youtube.com/@NickWhite</x:v>
      </x:c>
    </x:row>
    <x:row r="44" ht="21" customHeight="1">
      <x:c r="A44" s="26" t="n">
        <x:v>38</x:v>
      </x:c>
      <x:c r="B44" t="str">
        <x:v>LiveOverflow</x:v>
      </x:c>
      <x:c r="C44" t="str">
        <x:v>@LiveOverflow</x:v>
      </x:c>
      <x:c r="D44" s="96" t="str">
        <x:v>https://www.youtube.com/@LiveOverflow</x:v>
      </x:c>
    </x:row>
    <x:row r="45" ht="21" customHeight="1">
      <x:c r="A45" s="26" t="n">
        <x:v>39</x:v>
      </x:c>
      <x:c r="B45" t="str">
        <x:v>Ben Awad</x:v>
      </x:c>
      <x:c r="C45" t="str">
        <x:v>@bawad</x:v>
      </x:c>
      <x:c r="D45" s="96" t="str">
        <x:v>https://www.youtube.com/@bawad</x:v>
      </x:c>
    </x:row>
    <x:row r="46" ht="21" customHeight="1">
      <x:c r="A46" s="26" t="n">
        <x:v>40</x:v>
      </x:c>
      <x:c r="B46" t="str">
        <x:v>Professor Lee</x:v>
      </x:c>
      <x:c r="C46" t="str">
        <x:v>@professorlee4011</x:v>
      </x:c>
      <x:c r="D46" s="96" t="str">
        <x:v>https://www.youtube.com/@professorlee4011</x:v>
      </x:c>
    </x:row>
    <x:row r="47" ht="21" customHeight="1">
      <x:c r="A47" s="26" t="n">
        <x:v>41</x:v>
      </x:c>
      <x:c r="B47" t="str">
        <x:v>Luke Smith</x:v>
      </x:c>
      <x:c r="C47" t="str">
        <x:v>@LukeSmithxyz</x:v>
      </x:c>
      <x:c r="D47" s="96" t="str">
        <x:v>https://www.youtube.com/@LukeSmithxyz</x:v>
      </x:c>
    </x:row>
    <x:row r="48" ht="21" customHeight="1">
      <x:c r="A48" s="26" t="n">
        <x:v>42</x:v>
      </x:c>
      <x:c r="B48" t="str">
        <x:v>Fireship</x:v>
      </x:c>
      <x:c r="C48" t="str">
        <x:v>@Fireship</x:v>
      </x:c>
      <x:c r="D48" s="96" t="str">
        <x:v>https://www.youtube.com/@Fireship</x:v>
      </x:c>
    </x:row>
    <x:row r="49" ht="21" customHeight="1">
      <x:c r="A49" s="26" t="n">
        <x:v>43</x:v>
      </x:c>
      <x:c r="B49" t="str">
        <x:v>Web Dev Simplified</x:v>
      </x:c>
      <x:c r="C49" t="str">
        <x:v>@WebDevSimplified</x:v>
      </x:c>
      <x:c r="D49" s="96" t="str">
        <x:v>https://www.youtube.com/@WebDevSimplified</x:v>
      </x:c>
    </x:row>
    <x:row r="50" ht="21" customHeight="1">
      <x:c r="A50" s="26" t="n">
        <x:v>44</x:v>
      </x:c>
      <x:c r="B50" t="str">
        <x:v>Podel</x:v>
      </x:c>
      <x:c r="C50" t="str">
        <x:v>@Podel</x:v>
      </x:c>
      <x:c r="D50" s="96" t="str">
        <x:v>https://www.youtube.com/@Podel</x:v>
      </x:c>
    </x:row>
    <x:row r="51" ht="21" customHeight="1">
      <x:c r="A51" s="26" t="n">
        <x:v>45</x:v>
      </x:c>
      <x:c r="B51" t="str">
        <x:v>TheraminTrees</x:v>
      </x:c>
      <x:c r="C51" t="str">
        <x:v>@TheraminTrees</x:v>
      </x:c>
      <x:c r="D51" s="96" t="str">
        <x:v>https://www.youtube.com/@TheraminTrees</x:v>
      </x:c>
    </x:row>
    <x:row r="52" ht="21" customHeight="1">
      <x:c r="A52" s="26" t="n">
        <x:v>46</x:v>
      </x:c>
      <x:c r="B52" t="str">
        <x:v>Hacking and Cyber Security Club at Iowa State</x:v>
      </x:c>
      <x:c r="C52" t="str">
        <x:v>@hackingandcybersecurityclub</x:v>
      </x:c>
      <x:c r="D52" s="96" t="str">
        <x:v>https://www.youtube.com/@hackingandcybersecurityclub</x:v>
      </x:c>
    </x:row>
    <x:row r="53" ht="21" customHeight="1">
      <x:c r="A53" s="26" t="n">
        <x:v>47</x:v>
      </x:c>
      <x:c r="B53" t="str">
        <x:v>CodeParade</x:v>
      </x:c>
      <x:c r="C53" t="str">
        <x:v>@CodeParade</x:v>
      </x:c>
      <x:c r="D53" s="96" t="str">
        <x:v>https://www.youtube.com/@CodeParade</x:v>
      </x:c>
    </x:row>
    <x:row r="54" ht="21" customHeight="1">
      <x:c r="A54" s="26" t="n">
        <x:v>48</x:v>
      </x:c>
      <x:c r="B54" t="str">
        <x:v>Dreamteck</x:v>
      </x:c>
      <x:c r="C54" t="str">
        <x:v>@dreamteckstudio</x:v>
      </x:c>
      <x:c r="D54" s="96" t="str">
        <x:v>https://www.youtube.com/@dreamteckstudio</x:v>
      </x:c>
    </x:row>
    <x:row r="55" ht="21" customHeight="1">
      <x:c r="A55" s="26" t="n">
        <x:v>49</x:v>
      </x:c>
      <x:c r="B55" t="str">
        <x:v>Academy of Ideas</x:v>
      </x:c>
      <x:c r="C55" t="str">
        <x:v>@academyofideas</x:v>
      </x:c>
      <x:c r="D55" s="96" t="str">
        <x:v>https://www.youtube.com/@academyofideas</x:v>
      </x:c>
    </x:row>
    <x:row r="56" ht="21" customHeight="1">
      <x:c r="A56" s="26" t="n">
        <x:v>50</x:v>
      </x:c>
      <x:c r="B56" t="str">
        <x:v>Michael Reeves</x:v>
      </x:c>
      <x:c r="C56" t="str">
        <x:v>@MichaelReeves</x:v>
      </x:c>
      <x:c r="D56" s="96" t="str">
        <x:v>https://www.youtube.com/@MichaelReeves</x:v>
      </x:c>
    </x:row>
    <x:row r="57" ht="21" customHeight="1">
      <x:c r="A57" s="26" t="n">
        <x:v>51</x:v>
      </x:c>
      <x:c r="B57" t="str">
        <x:v>Sokpop Collective</x:v>
      </x:c>
      <x:c r="C57" t="str">
        <x:v>@sokpopcollective</x:v>
      </x:c>
      <x:c r="D57" s="96" t="str">
        <x:v>https://www.youtube.com/@sokpopcollective</x:v>
      </x:c>
    </x:row>
    <x:row r="58" ht="21" customHeight="1">
      <x:c r="A58" s="26" t="n">
        <x:v>52</x:v>
      </x:c>
      <x:c r="B58" t="str">
        <x:v>Ahoy</x:v>
      </x:c>
      <x:c r="C58" t="str">
        <x:v>@XboxAhoy</x:v>
      </x:c>
      <x:c r="D58" s="96" t="str">
        <x:v>https://www.youtube.com/@XboxAhoy</x:v>
      </x:c>
    </x:row>
    <x:row r="59" ht="21" customHeight="1">
      <x:c r="A59" s="26" t="n">
        <x:v>53</x:v>
      </x:c>
      <x:c r="B59" t="str">
        <x:v>SmarterEveryDay</x:v>
      </x:c>
      <x:c r="C59" t="str">
        <x:v>@smartereveryday</x:v>
      </x:c>
      <x:c r="D59" s="96" t="str">
        <x:v>https://www.youtube.com/@smartereveryday</x:v>
      </x:c>
    </x:row>
    <x:row r="60" ht="21" customHeight="1">
      <x:c r="A60" s="26" t="n">
        <x:v>54</x:v>
      </x:c>
      <x:c r="B60" t="str">
        <x:v>Reso Coder</x:v>
      </x:c>
      <x:c r="C60" t="str">
        <x:v>@ResoCoder</x:v>
      </x:c>
      <x:c r="D60" s="96" t="str">
        <x:v>https://www.youtube.com/@ResoCoder</x:v>
      </x:c>
    </x:row>
    <x:row r="61" ht="21" customHeight="1">
      <x:c r="A61" s="26" t="n">
        <x:v>55</x:v>
      </x:c>
      <x:c r="B61" t="str">
        <x:v>Game Maker's Toolkit</x:v>
      </x:c>
      <x:c r="C61" t="str">
        <x:v>@GMTK</x:v>
      </x:c>
      <x:c r="D61" s="96" t="str">
        <x:v>https://www.youtube.com/@GMTK</x:v>
      </x:c>
    </x:row>
    <x:row r="62" ht="21" customHeight="1">
      <x:c r="A62" s="26" t="n">
        <x:v>56</x:v>
      </x:c>
      <x:c r="B62" t="str">
        <x:v>Sebastian Lague</x:v>
      </x:c>
      <x:c r="C62" t="str">
        <x:v>@SebastianLague</x:v>
      </x:c>
      <x:c r="D62" s="96" t="str">
        <x:v>https://www.youtube.com/@SebastianLague</x:v>
      </x:c>
    </x:row>
    <x:row r="63" ht="21" customHeight="1">
      <x:c r="A63" s="26" t="n">
        <x:v>57</x:v>
      </x:c>
      <x:c r="B63" t="str">
        <x:v>Blackthornprod</x:v>
      </x:c>
      <x:c r="C63" t="str">
        <x:v>@Blackthornprod</x:v>
      </x:c>
      <x:c r="D63" s="96" t="str">
        <x:v>https://www.youtube.com/@Blackthornprod</x:v>
      </x:c>
    </x:row>
    <x:row r="64" ht="21" customHeight="1">
      <x:c r="A64" s="26" t="n">
        <x:v>58</x:v>
      </x:c>
      <x:c r="B64" t="str">
        <x:v>Techquickie</x:v>
      </x:c>
      <x:c r="C64" t="str">
        <x:v>@techquickie</x:v>
      </x:c>
      <x:c r="D64" s="96" t="str">
        <x:v>https://www.youtube.com/@techquickie</x:v>
      </x:c>
    </x:row>
    <x:row r="65" ht="21" customHeight="1">
      <x:c r="A65" s="26" t="n">
        <x:v>59</x:v>
      </x:c>
      <x:c r="B65" t="str">
        <x:v>TheHappieCat</x:v>
      </x:c>
      <x:c r="C65" t="str">
        <x:v>@TheHappieCat</x:v>
      </x:c>
      <x:c r="D65" s="96" t="str">
        <x:v>https://www.youtube.com/@TheHappieCat</x:v>
      </x:c>
    </x:row>
    <x:row r="66" ht="21" customHeight="1">
      <x:c r="A66" s="26" t="n">
        <x:v>60</x:v>
      </x:c>
      <x:c r="B66" t="str">
        <x:v>h3h3Productions</x:v>
      </x:c>
      <x:c r="C66" t="str">
        <x:v>@h3h3productions</x:v>
      </x:c>
      <x:c r="D66" s="96" t="str">
        <x:v>https://www.youtube.com/@h3h3productions</x:v>
      </x:c>
    </x:row>
    <x:row r="67" ht="21" customHeight="1">
      <x:c r="A67" s="26" t="n">
        <x:v>61</x:v>
      </x:c>
      <x:c r="B67" t="str">
        <x:v>Extra History</x:v>
      </x:c>
      <x:c r="C67" t="str">
        <x:v>@extrahistory</x:v>
      </x:c>
      <x:c r="D67" s="96" t="str">
        <x:v>https://www.youtube.com/@extrahistory</x:v>
      </x:c>
    </x:row>
    <x:row r="68" ht="21" customHeight="1">
      <x:c r="A68" s="26" t="n">
        <x:v>62</x:v>
      </x:c>
      <x:c r="B68" t="str">
        <x:v>Doug's Dharma</x:v>
      </x:c>
      <x:c r="C68" t="str">
        <x:v>@DougsDharma</x:v>
      </x:c>
      <x:c r="D68" s="96" t="str">
        <x:v>https://www.youtube.com/@DougsDharma</x:v>
      </x:c>
    </x:row>
    <x:row r="69" ht="21" customHeight="1">
      <x:c r="A69" s="26" t="n">
        <x:v>63</x:v>
      </x:c>
      <x:c r="B69" t="str">
        <x:v>Accepting the Universe</x:v>
      </x:c>
      <x:c r="C69" t="str">
        <x:v>@acceptingtheuniverse</x:v>
      </x:c>
      <x:c r="D69" s="96" t="str">
        <x:v>https://www.youtube.com/@acceptingtheuniverse</x:v>
      </x:c>
    </x:row>
    <x:row r="70" ht="21" customHeight="1">
      <x:c r="A70" s="26" t="n">
        <x:v>64</x:v>
      </x:c>
      <x:c r="B70" t="str">
        <x:v>Macroblank</x:v>
      </x:c>
      <x:c r="C70" t="str">
        <x:v>@Macroblank</x:v>
      </x:c>
      <x:c r="D70" s="96" t="str">
        <x:v>https://www.youtube.com/@Macroblank</x:v>
      </x:c>
    </x:row>
    <x:row r="71" ht="21" customHeight="1">
      <x:c r="A71" s="26" t="n">
        <x:v>65</x:v>
      </x:c>
      <x:c r="B71" t="str">
        <x:v>PewDiePie</x:v>
      </x:c>
      <x:c r="C71" t="str">
        <x:v>@PewDiePie</x:v>
      </x:c>
      <x:c r="D71" s="96" t="str">
        <x:v>https://www.youtube.com/@PewDiePie</x:v>
      </x:c>
    </x:row>
    <x:row r="72" ht="21" customHeight="1">
      <x:c r="A72" s="26" t="n">
        <x:v>66</x:v>
      </x:c>
      <x:c r="B72" t="str">
        <x:v>Jeff Nippard</x:v>
      </x:c>
      <x:c r="C72" t="str">
        <x:v>@JeffNippard</x:v>
      </x:c>
      <x:c r="D72" s="96" t="str">
        <x:v>https://www.youtube.com/@JeffNippard</x:v>
      </x:c>
    </x:row>
    <x:row r="73" ht="21" customHeight="1">
      <x:c r="A73" s="26" t="n">
        <x:v>67</x:v>
      </x:c>
      <x:c r="B73" t="str">
        <x:v>3Blue1Brown</x:v>
      </x:c>
      <x:c r="C73" t="str">
        <x:v>@3blue1brown</x:v>
      </x:c>
      <x:c r="D73" s="96" t="str">
        <x:v>https://www.youtube.com/@3blue1brown</x:v>
      </x:c>
    </x:row>
    <x:row r="74" ht="21" customHeight="1">
      <x:c r="A74" s="26" t="n">
        <x:v>68</x:v>
      </x:c>
      <x:c r="B74" t="str">
        <x:v>En Quête de Mots</x:v>
      </x:c>
      <x:c r="C74" t="str">
        <x:v>@enquetedemots</x:v>
      </x:c>
      <x:c r="D74" s="96" t="str">
        <x:v>https://www.youtube.com/@enquetedemots</x:v>
      </x:c>
    </x:row>
    <x:row r="75" ht="21" customHeight="1">
      <x:c r="A75" s="26" t="n">
        <x:v>69</x:v>
      </x:c>
      <x:c r="B75" t="str">
        <x:v>Joel Haver</x:v>
      </x:c>
      <x:c r="C75" t="str">
        <x:v>@Joel-Haver</x:v>
      </x:c>
      <x:c r="D75" s="96" t="str">
        <x:v>https://www.youtube.com/@Joel-Haver</x:v>
      </x:c>
    </x:row>
    <x:row r="76" ht="21" customHeight="1">
      <x:c r="A76" s="26" t="n">
        <x:v>70</x:v>
      </x:c>
      <x:c r="B76" t="str">
        <x:v>ForrestKnight</x:v>
      </x:c>
      <x:c r="C76" t="str">
        <x:v>@fknight</x:v>
      </x:c>
      <x:c r="D76" s="96" t="str">
        <x:v>https://www.youtube.com/@fknight</x:v>
      </x:c>
    </x:row>
    <x:row r="77" ht="21" customHeight="1">
      <x:c r="A77" s="26" t="n">
        <x:v>71</x:v>
      </x:c>
      <x:c r="B77" t="str">
        <x:v>NetworkChuck</x:v>
      </x:c>
      <x:c r="C77" t="str">
        <x:v>@NetworkChuck</x:v>
      </x:c>
      <x:c r="D77" s="96" t="str">
        <x:v>https://www.youtube.com/@NetworkChuck</x:v>
      </x:c>
    </x:row>
    <x:row r="78" ht="21" customHeight="1">
      <x:c r="A78" s="26" t="n">
        <x:v>72</x:v>
      </x:c>
      <x:c r="B78" t="str">
        <x:v>Brackeys</x:v>
      </x:c>
      <x:c r="C78" t="str">
        <x:v>@Brackeys</x:v>
      </x:c>
      <x:c r="D78" s="96" t="str">
        <x:v>https://www.youtube.com/@Brackeys</x:v>
      </x:c>
    </x:row>
    <x:row r="79" ht="21" customHeight="1">
      <x:c r="A79" s="26" t="n">
        <x:v>73</x:v>
      </x:c>
      <x:c r="B79" t="str">
        <x:v>upir</x:v>
      </x:c>
      <x:c r="C79" t="str">
        <x:v>@upir_upir</x:v>
      </x:c>
      <x:c r="D79" s="96" t="str">
        <x:v>https://www.youtube.com/@upir_upir</x:v>
      </x:c>
    </x:row>
    <x:row r="80" ht="21" customHeight="1">
      <x:c r="A80" s="26" t="n">
        <x:v>74</x:v>
      </x:c>
      <x:c r="B80" t="str">
        <x:v>exurb1a</x:v>
      </x:c>
      <x:c r="C80" t="str">
        <x:v>@Exurb1a</x:v>
      </x:c>
      <x:c r="D80" s="96" t="str">
        <x:v>https://www.youtube.com/@Exurb1a</x:v>
      </x:c>
    </x:row>
    <x:row r="81" ht="21" customHeight="1">
      <x:c r="A81" s="26" t="n">
        <x:v>75</x:v>
      </x:c>
      <x:c r="B81" t="str">
        <x:v>Beard Meets Calculus</x:v>
      </x:c>
      <x:c r="C81" t="str">
        <x:v>@BeardMeetsCalculus</x:v>
      </x:c>
      <x:c r="D81" s="96" t="str">
        <x:v>https://www.youtube.com/@BeardMeetsCalculus</x:v>
      </x:c>
    </x:row>
    <x:row r="82" ht="21" customHeight="1">
      <x:c r="A82" s="26" t="n">
        <x:v>76</x:v>
      </x:c>
      <x:c r="B82" t="str">
        <x:v>Gaurav Sen</x:v>
      </x:c>
      <x:c r="C82" t="str">
        <x:v>@gkcs</x:v>
      </x:c>
      <x:c r="D82" s="96" t="str">
        <x:v>https://www.youtube.com/@gkcs</x:v>
      </x:c>
    </x:row>
    <x:row r="83" ht="21" customHeight="1">
      <x:c r="A83" s="26" t="n">
        <x:v>77</x:v>
      </x:c>
      <x:c r="B83" t="str">
        <x:v>Jabrils</x:v>
      </x:c>
      <x:c r="C83" t="str">
        <x:v>@Jabrils</x:v>
      </x:c>
      <x:c r="D83" s="96" t="str">
        <x:v>https://www.youtube.com/@Jabrils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01846523c6542a8"/>
  </x:tableParts>
</x:worksheet>
</file>